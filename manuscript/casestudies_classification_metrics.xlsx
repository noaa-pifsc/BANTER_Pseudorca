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.barkley\Github\BANTER_Pseudorca\manuscript\"/>
    </mc:Choice>
  </mc:AlternateContent>
  <xr:revisionPtr revIDLastSave="0" documentId="13_ncr:1_{45F23CC9-6C58-4A6B-8CF1-8F332AEA7BDD}" xr6:coauthVersionLast="47" xr6:coauthVersionMax="47" xr10:uidLastSave="{00000000-0000-0000-0000-000000000000}"/>
  <bookViews>
    <workbookView xWindow="39510" yWindow="4680" windowWidth="27615" windowHeight="14130" tabRatio="772" xr2:uid="{198F8954-99C6-4F8E-A69A-E46D89F0133C}"/>
  </bookViews>
  <sheets>
    <sheet name="Table" sheetId="10" r:id="rId1"/>
    <sheet name="Totals_long" sheetId="4" r:id="rId2"/>
    <sheet name="Totals_wide" sheetId="9" r:id="rId3"/>
    <sheet name="ALL_SCORES" sheetId="11" r:id="rId4"/>
    <sheet name="HICEAS17" sheetId="2" r:id="rId5"/>
    <sheet name="HICEAS23" sheetId="3" r:id="rId6"/>
    <sheet name="SCOPE" sheetId="1" r:id="rId7"/>
    <sheet name="HICEAS17_SCORES" sheetId="8" r:id="rId8"/>
    <sheet name="HICEAS23_SCORES" sheetId="6" r:id="rId9"/>
    <sheet name="SCOPE24_SCORES" sheetId="7" r:id="rId10"/>
  </sheets>
  <externalReferences>
    <externalReference r:id="rId11"/>
  </externalReferences>
  <definedNames>
    <definedName name="_xlnm._FilterDatabase" localSheetId="3" hidden="1">ALL_SCORES!$A$1:$K$1065</definedName>
    <definedName name="_xlnm._FilterDatabase" localSheetId="7" hidden="1">HICEAS17_SCORES!$A$1:$M$555</definedName>
    <definedName name="_xlnm._FilterDatabase" localSheetId="8" hidden="1">HICEAS23_SCORES!$A$1:$K$389</definedName>
    <definedName name="_xlnm._FilterDatabase" localSheetId="9" hidden="1">SCOPE24_SCORES!$A$1:$K$123</definedName>
    <definedName name="_xlnm._FilterDatabase" localSheetId="1" hidden="1">Totals_long!$A$1:$O$21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3" i="10" l="1"/>
  <c r="Y22" i="10"/>
  <c r="X23" i="10"/>
  <c r="X24" i="10"/>
  <c r="X25" i="10"/>
  <c r="X26" i="10"/>
  <c r="X27" i="10"/>
  <c r="X28" i="10"/>
  <c r="X29" i="10"/>
  <c r="X30" i="10"/>
  <c r="X31" i="10"/>
  <c r="X22" i="10"/>
  <c r="W27" i="10"/>
  <c r="W28" i="10"/>
  <c r="W29" i="10"/>
  <c r="W30" i="10"/>
  <c r="W31" i="10"/>
  <c r="W23" i="10"/>
  <c r="W24" i="10"/>
  <c r="W25" i="10"/>
  <c r="W26" i="10"/>
  <c r="W22" i="10"/>
  <c r="V23" i="10"/>
  <c r="V22" i="10"/>
  <c r="V24" i="10"/>
  <c r="V25" i="10"/>
  <c r="V26" i="10"/>
  <c r="V27" i="10"/>
  <c r="V28" i="10"/>
  <c r="V29" i="10"/>
  <c r="V30" i="10"/>
  <c r="V31" i="10"/>
  <c r="U23" i="10"/>
  <c r="U24" i="10"/>
  <c r="U25" i="10"/>
  <c r="U26" i="10"/>
  <c r="U27" i="10"/>
  <c r="U28" i="10"/>
  <c r="U29" i="10"/>
  <c r="U30" i="10"/>
  <c r="U31" i="10"/>
  <c r="U22" i="10"/>
  <c r="J11" i="9"/>
  <c r="I11" i="9"/>
  <c r="S11" i="9"/>
  <c r="G11" i="9"/>
  <c r="D22" i="10"/>
  <c r="D23" i="10"/>
  <c r="D24" i="10"/>
  <c r="D25" i="10"/>
  <c r="D26" i="10"/>
  <c r="D27" i="10"/>
  <c r="D28" i="10"/>
  <c r="D29" i="10"/>
  <c r="D30" i="10"/>
  <c r="D31" i="10"/>
  <c r="C23" i="10"/>
  <c r="C24" i="10"/>
  <c r="C25" i="10"/>
  <c r="C26" i="10"/>
  <c r="C27" i="10"/>
  <c r="C28" i="10"/>
  <c r="C29" i="10"/>
  <c r="C30" i="10"/>
  <c r="C31" i="10"/>
  <c r="C22" i="10"/>
  <c r="R18" i="10"/>
  <c r="H18" i="10"/>
  <c r="J31" i="10"/>
  <c r="J26" i="10"/>
  <c r="J30" i="10"/>
  <c r="J25" i="10"/>
  <c r="J29" i="10"/>
  <c r="J24" i="10"/>
  <c r="J28" i="10"/>
  <c r="J23" i="10"/>
  <c r="J27" i="10"/>
  <c r="J22" i="10"/>
  <c r="G4" i="9"/>
  <c r="J5" i="10"/>
  <c r="J6" i="10"/>
  <c r="J13" i="4" s="1"/>
  <c r="J7" i="10"/>
  <c r="J8" i="10"/>
  <c r="J9" i="10"/>
  <c r="J10" i="10"/>
  <c r="J17" i="4" s="1"/>
  <c r="J11" i="10"/>
  <c r="J12" i="10"/>
  <c r="J19" i="4" s="1"/>
  <c r="J13" i="10"/>
  <c r="J14" i="10"/>
  <c r="J21" i="4" s="1"/>
  <c r="L2" i="4"/>
  <c r="M8" i="4"/>
  <c r="D12" i="4"/>
  <c r="S3" i="9"/>
  <c r="T3" i="9"/>
  <c r="R15" i="9"/>
  <c r="R14" i="9"/>
  <c r="R13" i="9"/>
  <c r="R12" i="9"/>
  <c r="R11" i="9"/>
  <c r="R4" i="9"/>
  <c r="R5" i="9"/>
  <c r="R6" i="9"/>
  <c r="R7" i="9"/>
  <c r="R3" i="9"/>
  <c r="P15" i="9"/>
  <c r="P14" i="9"/>
  <c r="P13" i="9"/>
  <c r="P12" i="9"/>
  <c r="P11" i="9"/>
  <c r="G7" i="9"/>
  <c r="E15" i="9"/>
  <c r="G15" i="9" s="1"/>
  <c r="E14" i="9"/>
  <c r="E13" i="9"/>
  <c r="E12" i="9"/>
  <c r="E11" i="9"/>
  <c r="I3" i="4"/>
  <c r="I5" i="4"/>
  <c r="I7" i="4"/>
  <c r="I9" i="4"/>
  <c r="I11" i="4"/>
  <c r="G4" i="4"/>
  <c r="G6" i="4"/>
  <c r="G8" i="4"/>
  <c r="G10" i="4"/>
  <c r="G3" i="4"/>
  <c r="G5" i="4"/>
  <c r="G7" i="4"/>
  <c r="G9" i="4"/>
  <c r="G11" i="4"/>
  <c r="G2" i="4"/>
  <c r="J15" i="4"/>
  <c r="Q15" i="9"/>
  <c r="O15" i="9"/>
  <c r="V15" i="9" s="1"/>
  <c r="N15" i="9"/>
  <c r="U15" i="9" s="1"/>
  <c r="M15" i="9"/>
  <c r="F15" i="9"/>
  <c r="H15" i="9" s="1"/>
  <c r="D15" i="9"/>
  <c r="C15" i="9"/>
  <c r="B15" i="9"/>
  <c r="Q14" i="9"/>
  <c r="O14" i="9"/>
  <c r="V14" i="9" s="1"/>
  <c r="N14" i="9"/>
  <c r="M14" i="9"/>
  <c r="I14" i="9"/>
  <c r="F14" i="9"/>
  <c r="H14" i="9" s="1"/>
  <c r="D14" i="9"/>
  <c r="G14" i="9" s="1"/>
  <c r="C14" i="9"/>
  <c r="B14" i="9"/>
  <c r="Q13" i="9"/>
  <c r="O13" i="9"/>
  <c r="V13" i="9" s="1"/>
  <c r="N13" i="9"/>
  <c r="M13" i="9"/>
  <c r="F13" i="9"/>
  <c r="D13" i="9"/>
  <c r="K13" i="9" s="1"/>
  <c r="C13" i="9"/>
  <c r="B13" i="9"/>
  <c r="Q12" i="9"/>
  <c r="O12" i="9"/>
  <c r="V12" i="9" s="1"/>
  <c r="N12" i="9"/>
  <c r="U12" i="9" s="1"/>
  <c r="M12" i="9"/>
  <c r="F12" i="9"/>
  <c r="D12" i="9"/>
  <c r="G12" i="9" s="1"/>
  <c r="C12" i="9"/>
  <c r="J12" i="9" s="1"/>
  <c r="B12" i="9"/>
  <c r="Q11" i="9"/>
  <c r="O11" i="9"/>
  <c r="V11" i="9" s="1"/>
  <c r="N11" i="9"/>
  <c r="M11" i="9"/>
  <c r="F11" i="9"/>
  <c r="D11" i="9"/>
  <c r="C11" i="9"/>
  <c r="B11" i="9"/>
  <c r="Q7" i="9"/>
  <c r="O7" i="9"/>
  <c r="V7" i="9" s="1"/>
  <c r="N7" i="9"/>
  <c r="M7" i="9"/>
  <c r="F7" i="9"/>
  <c r="H7" i="9" s="1"/>
  <c r="D7" i="9"/>
  <c r="K7" i="9" s="1"/>
  <c r="C7" i="9"/>
  <c r="B7" i="9"/>
  <c r="Q6" i="9"/>
  <c r="O6" i="9"/>
  <c r="V6" i="9" s="1"/>
  <c r="N6" i="9"/>
  <c r="U6" i="9" s="1"/>
  <c r="M6" i="9"/>
  <c r="F6" i="9"/>
  <c r="D6" i="9"/>
  <c r="G6" i="9" s="1"/>
  <c r="C6" i="9"/>
  <c r="J6" i="9" s="1"/>
  <c r="B6" i="9"/>
  <c r="Q5" i="9"/>
  <c r="S5" i="9" s="1"/>
  <c r="O5" i="9"/>
  <c r="V5" i="9" s="1"/>
  <c r="N5" i="9"/>
  <c r="M5" i="9"/>
  <c r="F5" i="9"/>
  <c r="D5" i="9"/>
  <c r="G5" i="9" s="1"/>
  <c r="C5" i="9"/>
  <c r="J5" i="9" s="1"/>
  <c r="B5" i="9"/>
  <c r="Q4" i="9"/>
  <c r="O4" i="9"/>
  <c r="N4" i="9"/>
  <c r="M4" i="9"/>
  <c r="F4" i="9"/>
  <c r="H4" i="9" s="1"/>
  <c r="D4" i="9"/>
  <c r="K4" i="9" s="1"/>
  <c r="C4" i="9"/>
  <c r="B4" i="9"/>
  <c r="Q3" i="9"/>
  <c r="O3" i="9"/>
  <c r="V3" i="9" s="1"/>
  <c r="N3" i="9"/>
  <c r="U3" i="9" s="1"/>
  <c r="W3" i="9" s="1"/>
  <c r="M3" i="9"/>
  <c r="F3" i="9"/>
  <c r="H3" i="9" s="1"/>
  <c r="D3" i="9"/>
  <c r="G3" i="9" s="1"/>
  <c r="C3" i="9"/>
  <c r="B3" i="9"/>
  <c r="F12" i="4"/>
  <c r="I12" i="4" s="1"/>
  <c r="J12" i="4" l="1"/>
  <c r="K3" i="9"/>
  <c r="J15" i="9"/>
  <c r="G13" i="9"/>
  <c r="U4" i="9"/>
  <c r="I5" i="9"/>
  <c r="H12" i="9"/>
  <c r="H11" i="9"/>
  <c r="H13" i="9"/>
  <c r="H6" i="9"/>
  <c r="J14" i="9"/>
  <c r="H5" i="9"/>
  <c r="S14" i="9"/>
  <c r="J3" i="9"/>
  <c r="K5" i="9"/>
  <c r="L5" i="9" s="1"/>
  <c r="K11" i="9"/>
  <c r="L11" i="9" s="1"/>
  <c r="K14" i="9"/>
  <c r="K6" i="9"/>
  <c r="L6" i="9" s="1"/>
  <c r="U7" i="9"/>
  <c r="W7" i="9" s="1"/>
  <c r="K12" i="9"/>
  <c r="L12" i="9" s="1"/>
  <c r="U13" i="9"/>
  <c r="W13" i="9" s="1"/>
  <c r="K15" i="9"/>
  <c r="L15" i="9" s="1"/>
  <c r="T5" i="9"/>
  <c r="S6" i="9"/>
  <c r="T11" i="9"/>
  <c r="S12" i="9"/>
  <c r="T14" i="9"/>
  <c r="S15" i="9"/>
  <c r="U5" i="9"/>
  <c r="W5" i="9" s="1"/>
  <c r="U11" i="9"/>
  <c r="W11" i="9" s="1"/>
  <c r="U14" i="9"/>
  <c r="W14" i="9" s="1"/>
  <c r="J7" i="9"/>
  <c r="L7" i="9" s="1"/>
  <c r="J13" i="9"/>
  <c r="L13" i="9" s="1"/>
  <c r="J4" i="9"/>
  <c r="L4" i="9"/>
  <c r="W6" i="9"/>
  <c r="W12" i="9"/>
  <c r="W15" i="9"/>
  <c r="S4" i="9"/>
  <c r="S7" i="9"/>
  <c r="S13" i="9"/>
  <c r="T4" i="9"/>
  <c r="T7" i="9"/>
  <c r="T13" i="9"/>
  <c r="I4" i="9"/>
  <c r="V4" i="9"/>
  <c r="W4" i="9" s="1"/>
  <c r="I7" i="9"/>
  <c r="I13" i="9"/>
  <c r="T6" i="9"/>
  <c r="T12" i="9"/>
  <c r="T15" i="9"/>
  <c r="I3" i="9"/>
  <c r="I6" i="9"/>
  <c r="I12" i="9"/>
  <c r="I15" i="9"/>
  <c r="F4" i="1"/>
  <c r="F5" i="1"/>
  <c r="F6" i="1"/>
  <c r="F7" i="1"/>
  <c r="F3" i="1"/>
  <c r="H4" i="4"/>
  <c r="H6" i="4"/>
  <c r="H8" i="4"/>
  <c r="H10" i="4"/>
  <c r="F4" i="4"/>
  <c r="F6" i="4"/>
  <c r="I6" i="4" s="1"/>
  <c r="F8" i="4"/>
  <c r="F10" i="4"/>
  <c r="E4" i="4"/>
  <c r="E6" i="4"/>
  <c r="E8" i="4"/>
  <c r="E10" i="4"/>
  <c r="E2" i="4"/>
  <c r="F2" i="4"/>
  <c r="H2" i="4"/>
  <c r="K2" i="4" s="1"/>
  <c r="D4" i="4"/>
  <c r="D6" i="4"/>
  <c r="D8" i="4"/>
  <c r="D10" i="4"/>
  <c r="D2" i="4"/>
  <c r="H20" i="4"/>
  <c r="H14" i="4"/>
  <c r="K14" i="4" s="1"/>
  <c r="H16" i="4"/>
  <c r="H18" i="4"/>
  <c r="H12" i="4"/>
  <c r="F14" i="4"/>
  <c r="F16" i="4"/>
  <c r="F18" i="4"/>
  <c r="F20" i="4"/>
  <c r="N12" i="4"/>
  <c r="E14" i="4"/>
  <c r="E16" i="4"/>
  <c r="E18" i="4"/>
  <c r="E20" i="4"/>
  <c r="E12" i="4"/>
  <c r="D14" i="4"/>
  <c r="D16" i="4"/>
  <c r="D18" i="4"/>
  <c r="D20" i="4"/>
  <c r="F3" i="3"/>
  <c r="G3" i="3"/>
  <c r="G7" i="1"/>
  <c r="N6" i="4"/>
  <c r="F11" i="3"/>
  <c r="P15" i="3"/>
  <c r="P14" i="3"/>
  <c r="P13" i="3"/>
  <c r="P12" i="3"/>
  <c r="P11" i="3"/>
  <c r="P7" i="3"/>
  <c r="P6" i="3"/>
  <c r="P5" i="3"/>
  <c r="P4" i="3"/>
  <c r="P3" i="3"/>
  <c r="F15" i="3"/>
  <c r="F14" i="3"/>
  <c r="F13" i="3"/>
  <c r="F12" i="3"/>
  <c r="F4" i="3"/>
  <c r="F5" i="3"/>
  <c r="F6" i="3"/>
  <c r="F7" i="3"/>
  <c r="F3" i="2"/>
  <c r="F4" i="2"/>
  <c r="F5" i="2"/>
  <c r="F6" i="2"/>
  <c r="F7" i="2"/>
  <c r="R11" i="2"/>
  <c r="R13" i="2"/>
  <c r="P12" i="2"/>
  <c r="P13" i="2"/>
  <c r="P14" i="2"/>
  <c r="P15" i="2"/>
  <c r="P11" i="2"/>
  <c r="P4" i="2"/>
  <c r="P5" i="2"/>
  <c r="P6" i="2"/>
  <c r="P7" i="2"/>
  <c r="P3" i="2"/>
  <c r="F12" i="2"/>
  <c r="F13" i="2"/>
  <c r="F14" i="2"/>
  <c r="F15" i="2"/>
  <c r="F11" i="2"/>
  <c r="T15" i="3"/>
  <c r="S15" i="3"/>
  <c r="U15" i="3" s="1"/>
  <c r="R15" i="3"/>
  <c r="Q15" i="3"/>
  <c r="J15" i="3"/>
  <c r="I15" i="3"/>
  <c r="K15" i="3" s="1"/>
  <c r="H15" i="3"/>
  <c r="G15" i="3"/>
  <c r="T14" i="3"/>
  <c r="S14" i="3"/>
  <c r="R14" i="3"/>
  <c r="Q14" i="3"/>
  <c r="J14" i="3"/>
  <c r="I14" i="3"/>
  <c r="K14" i="3" s="1"/>
  <c r="H14" i="3"/>
  <c r="G14" i="3"/>
  <c r="T13" i="3"/>
  <c r="U13" i="3" s="1"/>
  <c r="S13" i="3"/>
  <c r="R13" i="3"/>
  <c r="Q13" i="3"/>
  <c r="J13" i="3"/>
  <c r="I13" i="3"/>
  <c r="K13" i="3" s="1"/>
  <c r="H13" i="3"/>
  <c r="G13" i="3"/>
  <c r="T12" i="3"/>
  <c r="S12" i="3"/>
  <c r="U12" i="3" s="1"/>
  <c r="R12" i="3"/>
  <c r="Q12" i="3"/>
  <c r="J12" i="3"/>
  <c r="I12" i="3"/>
  <c r="K12" i="3" s="1"/>
  <c r="H12" i="3"/>
  <c r="G12" i="3"/>
  <c r="T11" i="3"/>
  <c r="S11" i="3"/>
  <c r="U11" i="3" s="1"/>
  <c r="R11" i="3"/>
  <c r="Q11" i="3"/>
  <c r="J11" i="3"/>
  <c r="I11" i="3"/>
  <c r="H11" i="3"/>
  <c r="G11" i="3"/>
  <c r="T7" i="3"/>
  <c r="S7" i="3"/>
  <c r="R7" i="3"/>
  <c r="Q7" i="3"/>
  <c r="J7" i="3"/>
  <c r="I7" i="3"/>
  <c r="K7" i="3" s="1"/>
  <c r="H7" i="3"/>
  <c r="G7" i="3"/>
  <c r="T6" i="3"/>
  <c r="S6" i="3"/>
  <c r="R6" i="3"/>
  <c r="Q6" i="3"/>
  <c r="J6" i="3"/>
  <c r="I6" i="3"/>
  <c r="H6" i="3"/>
  <c r="G6" i="3"/>
  <c r="T5" i="3"/>
  <c r="S5" i="3"/>
  <c r="R5" i="3"/>
  <c r="Q5" i="3"/>
  <c r="J5" i="3"/>
  <c r="I5" i="3"/>
  <c r="H5" i="3"/>
  <c r="G5" i="3"/>
  <c r="T4" i="3"/>
  <c r="S4" i="3"/>
  <c r="R4" i="3"/>
  <c r="Q4" i="3"/>
  <c r="J4" i="3"/>
  <c r="I4" i="3"/>
  <c r="H4" i="3"/>
  <c r="G4" i="3"/>
  <c r="T3" i="3"/>
  <c r="S3" i="3"/>
  <c r="U3" i="3" s="1"/>
  <c r="R3" i="3"/>
  <c r="Q3" i="3"/>
  <c r="J3" i="3"/>
  <c r="I3" i="3"/>
  <c r="H3" i="3"/>
  <c r="S13" i="2"/>
  <c r="Q13" i="2"/>
  <c r="Q12" i="2"/>
  <c r="Q7" i="2"/>
  <c r="Q6" i="2"/>
  <c r="Q5" i="2"/>
  <c r="Q4" i="2"/>
  <c r="Q3" i="2"/>
  <c r="G15" i="2"/>
  <c r="G14" i="2"/>
  <c r="G13" i="2"/>
  <c r="F11" i="1"/>
  <c r="F15" i="1"/>
  <c r="F14" i="1"/>
  <c r="F13" i="1"/>
  <c r="F12" i="1"/>
  <c r="H11" i="1"/>
  <c r="I11" i="1"/>
  <c r="T15" i="2"/>
  <c r="S15" i="2"/>
  <c r="R15" i="2"/>
  <c r="Q15" i="2"/>
  <c r="J15" i="2"/>
  <c r="I15" i="2"/>
  <c r="K15" i="2" s="1"/>
  <c r="H15" i="2"/>
  <c r="T14" i="2"/>
  <c r="S14" i="2"/>
  <c r="U14" i="2" s="1"/>
  <c r="R14" i="2"/>
  <c r="Q14" i="2"/>
  <c r="J14" i="2"/>
  <c r="I14" i="2"/>
  <c r="K14" i="2" s="1"/>
  <c r="H14" i="2"/>
  <c r="T13" i="2"/>
  <c r="J13" i="2"/>
  <c r="I13" i="2"/>
  <c r="H13" i="2"/>
  <c r="T12" i="2"/>
  <c r="S12" i="2"/>
  <c r="U12" i="2" s="1"/>
  <c r="R12" i="2"/>
  <c r="J12" i="2"/>
  <c r="I12" i="2"/>
  <c r="H12" i="2"/>
  <c r="G12" i="2"/>
  <c r="T11" i="2"/>
  <c r="S11" i="2"/>
  <c r="U11" i="2" s="1"/>
  <c r="Q11" i="2"/>
  <c r="J11" i="2"/>
  <c r="I11" i="2"/>
  <c r="H11" i="2"/>
  <c r="G11" i="2"/>
  <c r="T7" i="2"/>
  <c r="S7" i="2"/>
  <c r="U7" i="2" s="1"/>
  <c r="R7" i="2"/>
  <c r="J7" i="2"/>
  <c r="I7" i="2"/>
  <c r="K7" i="2" s="1"/>
  <c r="H7" i="2"/>
  <c r="G7" i="2"/>
  <c r="T6" i="2"/>
  <c r="S6" i="2"/>
  <c r="R6" i="2"/>
  <c r="J6" i="2"/>
  <c r="I6" i="2"/>
  <c r="H6" i="2"/>
  <c r="G6" i="2"/>
  <c r="T5" i="2"/>
  <c r="S5" i="2"/>
  <c r="R5" i="2"/>
  <c r="J5" i="2"/>
  <c r="I5" i="2"/>
  <c r="K5" i="2" s="1"/>
  <c r="H5" i="2"/>
  <c r="G5" i="2"/>
  <c r="T4" i="2"/>
  <c r="S4" i="2"/>
  <c r="R4" i="2"/>
  <c r="J4" i="2"/>
  <c r="I4" i="2"/>
  <c r="K4" i="2" s="1"/>
  <c r="H4" i="2"/>
  <c r="G4" i="2"/>
  <c r="T3" i="2"/>
  <c r="S3" i="2"/>
  <c r="R3" i="2"/>
  <c r="J3" i="2"/>
  <c r="I3" i="2"/>
  <c r="H3" i="2"/>
  <c r="G3" i="2"/>
  <c r="H3" i="1"/>
  <c r="U15" i="1"/>
  <c r="U14" i="1"/>
  <c r="U11" i="1"/>
  <c r="U7" i="1"/>
  <c r="U6" i="1"/>
  <c r="U5" i="1"/>
  <c r="U4" i="1"/>
  <c r="U3" i="1"/>
  <c r="K4" i="1"/>
  <c r="K5" i="1"/>
  <c r="K6" i="1"/>
  <c r="K7" i="1"/>
  <c r="K3" i="1"/>
  <c r="T15" i="1"/>
  <c r="T14" i="1"/>
  <c r="T13" i="1"/>
  <c r="T12" i="1"/>
  <c r="T11" i="1"/>
  <c r="T7" i="1"/>
  <c r="T6" i="1"/>
  <c r="T5" i="1"/>
  <c r="T4" i="1"/>
  <c r="T3" i="1"/>
  <c r="J15" i="1"/>
  <c r="J14" i="1"/>
  <c r="J13" i="1"/>
  <c r="J12" i="1"/>
  <c r="J11" i="1"/>
  <c r="J4" i="1"/>
  <c r="J5" i="1"/>
  <c r="J6" i="1"/>
  <c r="J7" i="1"/>
  <c r="J3" i="1"/>
  <c r="S15" i="1"/>
  <c r="S14" i="1"/>
  <c r="S13" i="1"/>
  <c r="U13" i="1" s="1"/>
  <c r="S12" i="1"/>
  <c r="U12" i="1" s="1"/>
  <c r="S11" i="1"/>
  <c r="S7" i="1"/>
  <c r="S6" i="1"/>
  <c r="S5" i="1"/>
  <c r="S4" i="1"/>
  <c r="S3" i="1"/>
  <c r="I15" i="1"/>
  <c r="K15" i="1" s="1"/>
  <c r="I14" i="1"/>
  <c r="I13" i="1"/>
  <c r="K13" i="1" s="1"/>
  <c r="I12" i="1"/>
  <c r="I4" i="1"/>
  <c r="I5" i="1"/>
  <c r="I6" i="1"/>
  <c r="I7" i="1"/>
  <c r="I3" i="1"/>
  <c r="R15" i="1"/>
  <c r="R14" i="1"/>
  <c r="R13" i="1"/>
  <c r="R12" i="1"/>
  <c r="R11" i="1"/>
  <c r="R7" i="1"/>
  <c r="R6" i="1"/>
  <c r="R5" i="1"/>
  <c r="R4" i="1"/>
  <c r="R3" i="1"/>
  <c r="H15" i="1"/>
  <c r="H14" i="1"/>
  <c r="H13" i="1"/>
  <c r="H12" i="1"/>
  <c r="H4" i="1"/>
  <c r="H5" i="1"/>
  <c r="H6" i="1"/>
  <c r="H7" i="1"/>
  <c r="Q4" i="1"/>
  <c r="Q5" i="1"/>
  <c r="Q6" i="1"/>
  <c r="Q7" i="1"/>
  <c r="Q3" i="1"/>
  <c r="Q12" i="1"/>
  <c r="Q13" i="1"/>
  <c r="Q14" i="1"/>
  <c r="Q15" i="1"/>
  <c r="Q11" i="1"/>
  <c r="G11" i="1"/>
  <c r="P12" i="1"/>
  <c r="P13" i="1"/>
  <c r="P14" i="1"/>
  <c r="P15" i="1"/>
  <c r="P11" i="1"/>
  <c r="P4" i="1"/>
  <c r="P5" i="1"/>
  <c r="P6" i="1"/>
  <c r="P7" i="1"/>
  <c r="P3" i="1"/>
  <c r="G6" i="1"/>
  <c r="G5" i="1"/>
  <c r="G4" i="1"/>
  <c r="G3" i="1"/>
  <c r="G12" i="1"/>
  <c r="G13" i="1"/>
  <c r="G14" i="1"/>
  <c r="G15" i="1"/>
  <c r="N8" i="4" l="1"/>
  <c r="I8" i="4"/>
  <c r="N10" i="4"/>
  <c r="I10" i="4"/>
  <c r="N2" i="4"/>
  <c r="I2" i="4"/>
  <c r="N4" i="4"/>
  <c r="I4" i="4"/>
  <c r="I18" i="4"/>
  <c r="J18" i="4"/>
  <c r="I20" i="4"/>
  <c r="J20" i="4"/>
  <c r="I16" i="4"/>
  <c r="J16" i="4"/>
  <c r="J14" i="4"/>
  <c r="I14" i="4"/>
  <c r="L14" i="9"/>
  <c r="L3" i="9"/>
  <c r="K20" i="4"/>
  <c r="N20" i="4"/>
  <c r="N14" i="4"/>
  <c r="K18" i="4"/>
  <c r="K16" i="4"/>
  <c r="M20" i="4"/>
  <c r="M14" i="4"/>
  <c r="M18" i="4"/>
  <c r="M16" i="4"/>
  <c r="L16" i="4"/>
  <c r="M4" i="4"/>
  <c r="M10" i="4"/>
  <c r="O10" i="4" s="1"/>
  <c r="M6" i="4"/>
  <c r="O6" i="4" s="1"/>
  <c r="K4" i="4"/>
  <c r="L4" i="4"/>
  <c r="K10" i="4"/>
  <c r="L10" i="4"/>
  <c r="K8" i="4"/>
  <c r="L8" i="4"/>
  <c r="K6" i="4"/>
  <c r="L6" i="4"/>
  <c r="M2" i="4"/>
  <c r="N18" i="4"/>
  <c r="L14" i="4"/>
  <c r="N16" i="4"/>
  <c r="L20" i="4"/>
  <c r="L18" i="4"/>
  <c r="L12" i="4"/>
  <c r="M12" i="4"/>
  <c r="O12" i="4" s="1"/>
  <c r="K12" i="4"/>
  <c r="U14" i="3"/>
  <c r="U6" i="3"/>
  <c r="U7" i="3"/>
  <c r="U5" i="3"/>
  <c r="U4" i="3"/>
  <c r="K4" i="3"/>
  <c r="K3" i="3"/>
  <c r="K11" i="3"/>
  <c r="K6" i="3"/>
  <c r="K5" i="3"/>
  <c r="K13" i="2"/>
  <c r="K11" i="2"/>
  <c r="K14" i="1"/>
  <c r="K12" i="1"/>
  <c r="K11" i="1"/>
  <c r="U5" i="2"/>
  <c r="U4" i="2"/>
  <c r="U3" i="2"/>
  <c r="K6" i="2"/>
  <c r="K3" i="2"/>
  <c r="U13" i="2"/>
  <c r="U15" i="2"/>
  <c r="U6" i="2"/>
  <c r="K12" i="2"/>
  <c r="O2" i="4" l="1"/>
  <c r="O8" i="4"/>
  <c r="O4" i="4"/>
  <c r="O14" i="4"/>
  <c r="O20" i="4"/>
  <c r="O18" i="4"/>
  <c r="O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J1" authorId="0" shapeId="0" xr:uid="{6F984B9E-9EBC-436C-B58A-FCAF4B55959A}">
      <text>
        <r>
          <rPr>
            <b/>
            <sz val="9"/>
            <color indexed="81"/>
            <rFont val="Tahoma"/>
            <charset val="1"/>
          </rPr>
          <t>Reviewer:</t>
        </r>
        <r>
          <rPr>
            <sz val="9"/>
            <color indexed="81"/>
            <rFont val="Tahoma"/>
            <charset val="1"/>
          </rPr>
          <t xml:space="preserve">
True negatives include only the sightings that were predicted for hiceas17, hiceas23, &amp; scope, in that order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A1" authorId="0" shapeId="0" xr:uid="{72650905-4786-4A6A-81C6-81CF8A8A2409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Orange = True Visual Pc
Purple = True Acoustic Pc</t>
        </r>
      </text>
    </comment>
    <comment ref="B1" authorId="0" shapeId="0" xr:uid="{73D70916-DF92-4C52-8533-7DB6215D220E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Yellow = Visual Other
Blue = Acoustic Other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A1" authorId="0" shapeId="0" xr:uid="{29CFDA47-512C-4C01-B2D3-9453BDCC2F8A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Orange = True Visual Pc
Purple = True Acoustic Pc</t>
        </r>
      </text>
    </comment>
    <comment ref="B1" authorId="0" shapeId="0" xr:uid="{7A270CF6-FB30-4AD0-B181-0D866D33DD9E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Yellow = Visual Other
Blue = Acoustic Other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A1" authorId="0" shapeId="0" xr:uid="{C29EF259-6B51-4BF0-8473-37375DD9D33F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Orange = True Visual Pc
Purple = True Acoustic Pc
</t>
        </r>
      </text>
    </comment>
    <comment ref="B1" authorId="0" shapeId="0" xr:uid="{E785CD03-8DC6-4210-B01B-97B58947E2DD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Yellow = Visual Other
Blue = Acoustic 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A1" authorId="0" shapeId="0" xr:uid="{4CD84E62-B810-45BA-82D1-468880420A7A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Orange = True Visual Pc
Purple = True Acoustic Pc</t>
        </r>
      </text>
    </comment>
    <comment ref="B1" authorId="0" shapeId="0" xr:uid="{34E03446-1A1B-4A3A-825B-AD2664C7AB94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Yellow = Visual Other
Blue = Acoustic Other</t>
        </r>
      </text>
    </comment>
  </commentList>
</comments>
</file>

<file path=xl/sharedStrings.xml><?xml version="1.0" encoding="utf-8"?>
<sst xmlns="http://schemas.openxmlformats.org/spreadsheetml/2006/main" count="5265" uniqueCount="134">
  <si>
    <t>Predicted Pcs</t>
  </si>
  <si>
    <t>Correct Pcs</t>
  </si>
  <si>
    <t>false positives</t>
  </si>
  <si>
    <t>false negatives</t>
  </si>
  <si>
    <t>false positive rate</t>
  </si>
  <si>
    <t>false negative rate</t>
  </si>
  <si>
    <t>MDF + SSF</t>
  </si>
  <si>
    <t>Visuals only</t>
  </si>
  <si>
    <t>Both</t>
  </si>
  <si>
    <t>True positive</t>
  </si>
  <si>
    <t>precision</t>
  </si>
  <si>
    <t>recall</t>
  </si>
  <si>
    <t>balanced accuracy</t>
  </si>
  <si>
    <t>specificity</t>
  </si>
  <si>
    <t>TP</t>
  </si>
  <si>
    <t>FP</t>
  </si>
  <si>
    <t>Filename</t>
  </si>
  <si>
    <t>event.id</t>
  </si>
  <si>
    <t>predicted</t>
  </si>
  <si>
    <t>X33</t>
  </si>
  <si>
    <t>X577</t>
  </si>
  <si>
    <t>original</t>
  </si>
  <si>
    <t>correct</t>
  </si>
  <si>
    <t>True Negatives = 337</t>
  </si>
  <si>
    <t>v</t>
  </si>
  <si>
    <t>a</t>
  </si>
  <si>
    <t>X277</t>
  </si>
  <si>
    <t>AC</t>
  </si>
  <si>
    <t>X377</t>
  </si>
  <si>
    <t>NO</t>
  </si>
  <si>
    <t>Blackfish, but the DW in Pc range is actually the Sette noise. Issue with the rutter.</t>
  </si>
  <si>
    <t>X77</t>
  </si>
  <si>
    <t>Not enough signals.</t>
  </si>
  <si>
    <t>X177</t>
  </si>
  <si>
    <t>EC &gt; 22kHz</t>
  </si>
  <si>
    <t>X26</t>
  </si>
  <si>
    <t>Visual confirm Fraser's dolphins</t>
  </si>
  <si>
    <t>DW not repeative in nature. Parts of signals might be lost due to detection distance reported at 10k for beam.</t>
  </si>
  <si>
    <t>X46</t>
  </si>
  <si>
    <t>Don't use for localization project because ship was off effort chasing beaked whales.</t>
  </si>
  <si>
    <t>X78</t>
  </si>
  <si>
    <t>X15</t>
  </si>
  <si>
    <t>EC spectrum looks wrong</t>
  </si>
  <si>
    <t>DW only valid data for this encounter.</t>
  </si>
  <si>
    <t>EC &gt;22kHz</t>
  </si>
  <si>
    <t>X21</t>
  </si>
  <si>
    <t>X13</t>
  </si>
  <si>
    <t>X36</t>
  </si>
  <si>
    <t>X5</t>
  </si>
  <si>
    <t>X18</t>
  </si>
  <si>
    <t>X102</t>
  </si>
  <si>
    <t>X17</t>
  </si>
  <si>
    <t>X2</t>
  </si>
  <si>
    <t>X37</t>
  </si>
  <si>
    <t>X32</t>
  </si>
  <si>
    <t>X31</t>
  </si>
  <si>
    <t>Noise mixed into EC data. Most likely leading to a lower score.</t>
  </si>
  <si>
    <t>No enough signals.</t>
  </si>
  <si>
    <t>Median peak frequency &gt; 22kHz</t>
  </si>
  <si>
    <t>Other type of blackfish. Slope of EC data is too high.</t>
  </si>
  <si>
    <t>True Negatives = 486</t>
  </si>
  <si>
    <t>1706259 DW only. No valid EC Data, which is probably lowering the score. Update: 4/7/25 This is a mixed species encounter with AC258 and the ship is not at full speed. No not use in analysis.</t>
  </si>
  <si>
    <t>Not enough signals (&lt;10). DW do look possible.</t>
  </si>
  <si>
    <t>Not enough signals (&lt;5). DW do look possible.</t>
  </si>
  <si>
    <t>DW as possibly correct, but the EC has a Median Peak Freq of 65kHz</t>
  </si>
  <si>
    <t>DW as possibly correct, but the EC has a Median Peak Freq of 26kHz</t>
  </si>
  <si>
    <t>Not enough signals (&lt;5).</t>
  </si>
  <si>
    <t>Not enough signals (&lt;15).</t>
  </si>
  <si>
    <t>Not enough signals (&lt;15). DW do look possible.</t>
  </si>
  <si>
    <t>Another type of blackfish. Maybe peps. YB checked it's acoustic</t>
  </si>
  <si>
    <t>No valid EC Data, which is probably lowering the score.</t>
  </si>
  <si>
    <t>DW as possibly correct, but the EC has a Median Peak Freq of 16kHz, but not enough signals present for analysis.</t>
  </si>
  <si>
    <t>Another type of blackfish.</t>
  </si>
  <si>
    <t>EC mainly. Limited DW Data, which is probably lowering the score.</t>
  </si>
  <si>
    <t>Another blackfish.</t>
  </si>
  <si>
    <t>DW only. No valid EC Data, which is probably lowering the score.</t>
  </si>
  <si>
    <t>Another type of blackfish. EC only</t>
  </si>
  <si>
    <t>EC Median Peak Freq is too high (29 kHz)</t>
  </si>
  <si>
    <t>There is a lot of extrnal noise impacting this encounter. Event summary shows its FKW, but the noise is impacting the score.</t>
  </si>
  <si>
    <t>class_thld</t>
  </si>
  <si>
    <t>pred_pc</t>
  </si>
  <si>
    <t>tp</t>
  </si>
  <si>
    <t>fp</t>
  </si>
  <si>
    <t>fn</t>
  </si>
  <si>
    <t>fpr</t>
  </si>
  <si>
    <t>fnr</t>
  </si>
  <si>
    <t>bal_accuracy</t>
  </si>
  <si>
    <t>data_type</t>
  </si>
  <si>
    <t>visual</t>
  </si>
  <si>
    <t>baseline</t>
  </si>
  <si>
    <t>filtered</t>
  </si>
  <si>
    <t>trial</t>
  </si>
  <si>
    <t>all</t>
  </si>
  <si>
    <t>EC &gt; 22kHz - visual 77, unid</t>
  </si>
  <si>
    <t>Not enough signals. - visual unid small whale</t>
  </si>
  <si>
    <t>EC &gt; 22kHz - visual Steno</t>
  </si>
  <si>
    <t>Pc before turn for Spotters</t>
  </si>
  <si>
    <t>Another type of blackfish. Visual unid</t>
  </si>
  <si>
    <t>All</t>
  </si>
  <si>
    <t>fpr_vis</t>
  </si>
  <si>
    <t>tn</t>
  </si>
  <si>
    <t>true negatives</t>
  </si>
  <si>
    <t>Filtered</t>
  </si>
  <si>
    <t>Baseline</t>
  </si>
  <si>
    <t>FNR</t>
  </si>
  <si>
    <t>FPR</t>
  </si>
  <si>
    <t>FN</t>
  </si>
  <si>
    <t>TN</t>
  </si>
  <si>
    <t>Predicted</t>
  </si>
  <si>
    <t>Dataset</t>
  </si>
  <si>
    <r>
      <t xml:space="preserve">All Events </t>
    </r>
    <r>
      <rPr>
        <sz val="11"/>
        <color theme="1"/>
        <rFont val="Calibri"/>
        <family val="2"/>
        <scheme val="minor"/>
      </rPr>
      <t>(Visually-Verified &amp; Acoustic Only)</t>
    </r>
  </si>
  <si>
    <t>Visually-Verified Events</t>
  </si>
  <si>
    <t>Classification Threshold</t>
  </si>
  <si>
    <t>Precision</t>
  </si>
  <si>
    <t>Recall</t>
  </si>
  <si>
    <t>Total VV Predicted (TP+FP+TN+FN)</t>
  </si>
  <si>
    <t>Total VVAO Predicted (TP+FP+TN+FN)</t>
  </si>
  <si>
    <t>Predicted VV</t>
  </si>
  <si>
    <t>Predicted All</t>
  </si>
  <si>
    <t>Predicted as Pc</t>
  </si>
  <si>
    <t xml:space="preserve">1706259 DW only. Do not use in analysis. No valid EC Data, which is probably lowering the score. Update: 4/7/25 This is a mixed species encounter with AC258 and the ship is not at full speed. </t>
  </si>
  <si>
    <t>But only 17 whistles detected.</t>
  </si>
  <si>
    <t>EC&gt;22 khz but whistles are good</t>
  </si>
  <si>
    <t>Red cells indicate AC-ONLY events that did not pass both filters</t>
  </si>
  <si>
    <t>Green cells indicate events that should technically be included based on filters.</t>
  </si>
  <si>
    <t>Another blackfish. YB sees clicks and whistles fall within range</t>
  </si>
  <si>
    <t>Not enough signals (&lt;5). - YB sees 22 whistles and 32 clicks</t>
  </si>
  <si>
    <t>kept</t>
  </si>
  <si>
    <t>Changed case_studies_all_data_2026-01-03-Jen.csv</t>
  </si>
  <si>
    <t>Not enough signals (&lt;20 per detecter, 10 whistles, 21 TS)</t>
  </si>
  <si>
    <t>toss</t>
  </si>
  <si>
    <t>Confirmed</t>
  </si>
  <si>
    <t>Jen confirmed to toss, likely other blackfish</t>
  </si>
  <si>
    <t>Jen confirmed, chaotic event on second day of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</si>
</sst>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21">
    <xf numFmtId="0" fontId="0" fillId="0" borderId="0" xfId="0"/>
    <xf numFmtId="9" fontId="0" fillId="0" borderId="0" xfId="1" applyFont="1"/>
    <xf numFmtId="9" fontId="2" fillId="0" borderId="0" xfId="1" applyFont="1"/>
    <xf numFmtId="9" fontId="3" fillId="0" borderId="0" xfId="1" applyFont="1"/>
    <xf numFmtId="0" fontId="0" fillId="4" borderId="0" xfId="0" applyFill="1"/>
    <xf numFmtId="0" fontId="0" fillId="0" borderId="0" xfId="0" applyFill="1"/>
    <xf numFmtId="9" fontId="0" fillId="0" borderId="0" xfId="1" applyFont="1" applyFill="1"/>
    <xf numFmtId="9" fontId="0" fillId="0" borderId="1" xfId="1" applyFont="1" applyBorder="1"/>
    <xf numFmtId="9" fontId="0" fillId="0" borderId="1" xfId="1" applyFont="1" applyFill="1" applyBorder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0" xfId="2" applyBorder="1" applyAlignment="1">
      <alignment horizontal="left"/>
    </xf>
    <xf numFmtId="0" fontId="0" fillId="7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4" fillId="2" borderId="2" xfId="2" applyBorder="1" applyAlignment="1">
      <alignment horizontal="left"/>
    </xf>
    <xf numFmtId="0" fontId="5" fillId="3" borderId="0" xfId="3" applyBorder="1" applyAlignment="1">
      <alignment horizontal="left"/>
    </xf>
    <xf numFmtId="0" fontId="5" fillId="3" borderId="2" xfId="3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5" fillId="3" borderId="3" xfId="3" applyBorder="1" applyAlignment="1">
      <alignment horizontal="left"/>
    </xf>
    <xf numFmtId="0" fontId="9" fillId="4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9" fillId="6" borderId="0" xfId="0" applyFont="1" applyFill="1" applyAlignment="1">
      <alignment horizontal="left"/>
    </xf>
    <xf numFmtId="0" fontId="10" fillId="0" borderId="2" xfId="0" applyFont="1" applyBorder="1" applyAlignment="1">
      <alignment horizontal="left"/>
    </xf>
    <xf numFmtId="0" fontId="9" fillId="5" borderId="0" xfId="0" applyFont="1" applyFill="1" applyAlignment="1">
      <alignment horizontal="left"/>
    </xf>
    <xf numFmtId="0" fontId="9" fillId="8" borderId="0" xfId="0" applyFont="1" applyFill="1" applyAlignment="1">
      <alignment horizontal="left"/>
    </xf>
    <xf numFmtId="0" fontId="10" fillId="0" borderId="3" xfId="0" applyFont="1" applyBorder="1" applyAlignment="1">
      <alignment horizontal="left"/>
    </xf>
    <xf numFmtId="0" fontId="4" fillId="0" borderId="0" xfId="2" applyFill="1" applyAlignment="1">
      <alignment horizontal="left"/>
    </xf>
    <xf numFmtId="0" fontId="4" fillId="2" borderId="0" xfId="2" applyAlignment="1">
      <alignment horizontal="left"/>
    </xf>
    <xf numFmtId="0" fontId="11" fillId="2" borderId="0" xfId="2" applyFont="1" applyAlignment="1">
      <alignment horizontal="left"/>
    </xf>
    <xf numFmtId="0" fontId="4" fillId="0" borderId="2" xfId="2" applyFill="1" applyBorder="1" applyAlignment="1">
      <alignment horizontal="left"/>
    </xf>
    <xf numFmtId="0" fontId="11" fillId="2" borderId="2" xfId="2" applyFont="1" applyBorder="1" applyAlignment="1">
      <alignment horizontal="left"/>
    </xf>
    <xf numFmtId="0" fontId="9" fillId="6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9" fillId="9" borderId="2" xfId="0" applyFont="1" applyFill="1" applyBorder="1" applyAlignment="1">
      <alignment horizontal="left"/>
    </xf>
    <xf numFmtId="0" fontId="9" fillId="9" borderId="0" xfId="0" applyFont="1" applyFill="1" applyAlignment="1">
      <alignment horizontal="left"/>
    </xf>
    <xf numFmtId="0" fontId="5" fillId="3" borderId="0" xfId="3" applyAlignment="1">
      <alignment horizontal="left"/>
    </xf>
    <xf numFmtId="0" fontId="9" fillId="9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2" fontId="0" fillId="0" borderId="0" xfId="1" applyNumberFormat="1" applyFont="1"/>
    <xf numFmtId="2" fontId="3" fillId="0" borderId="0" xfId="1" applyNumberFormat="1" applyFont="1"/>
    <xf numFmtId="2" fontId="0" fillId="0" borderId="1" xfId="1" applyNumberFormat="1" applyFont="1" applyBorder="1"/>
    <xf numFmtId="0" fontId="0" fillId="8" borderId="0" xfId="0" applyFill="1" applyAlignment="1">
      <alignment horizontal="left"/>
    </xf>
    <xf numFmtId="0" fontId="9" fillId="0" borderId="0" xfId="0" applyFont="1" applyFill="1" applyAlignment="1">
      <alignment horizontal="left"/>
    </xf>
    <xf numFmtId="2" fontId="3" fillId="10" borderId="0" xfId="1" applyNumberFormat="1" applyFont="1" applyFill="1"/>
    <xf numFmtId="2" fontId="0" fillId="10" borderId="0" xfId="1" applyNumberFormat="1" applyFont="1" applyFill="1"/>
    <xf numFmtId="0" fontId="0" fillId="11" borderId="0" xfId="0" applyFill="1"/>
    <xf numFmtId="9" fontId="0" fillId="11" borderId="0" xfId="1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9" fontId="0" fillId="11" borderId="4" xfId="1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9" fontId="0" fillId="11" borderId="2" xfId="1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9" fontId="0" fillId="12" borderId="1" xfId="1" applyFont="1" applyFill="1" applyBorder="1" applyAlignment="1">
      <alignment horizontal="center"/>
    </xf>
    <xf numFmtId="9" fontId="0" fillId="12" borderId="0" xfId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7" xfId="0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9" fontId="0" fillId="11" borderId="1" xfId="1" applyFont="1" applyFill="1" applyBorder="1" applyAlignment="1">
      <alignment horizontal="center"/>
    </xf>
    <xf numFmtId="9" fontId="0" fillId="11" borderId="0" xfId="1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7" xfId="0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9" fontId="0" fillId="12" borderId="9" xfId="1" applyFon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2" fontId="6" fillId="11" borderId="4" xfId="1" applyNumberFormat="1" applyFont="1" applyFill="1" applyBorder="1" applyAlignment="1">
      <alignment horizontal="center"/>
    </xf>
    <xf numFmtId="2" fontId="6" fillId="11" borderId="2" xfId="1" applyNumberFormat="1" applyFont="1" applyFill="1" applyBorder="1" applyAlignment="1">
      <alignment horizontal="center"/>
    </xf>
    <xf numFmtId="0" fontId="14" fillId="11" borderId="2" xfId="0" applyFont="1" applyFill="1" applyBorder="1" applyAlignment="1">
      <alignment horizontal="center" wrapText="1"/>
    </xf>
    <xf numFmtId="0" fontId="15" fillId="11" borderId="6" xfId="0" applyFont="1" applyFill="1" applyBorder="1" applyAlignment="1">
      <alignment horizontal="center" wrapText="1"/>
    </xf>
    <xf numFmtId="0" fontId="10" fillId="11" borderId="1" xfId="0" applyFont="1" applyFill="1" applyBorder="1" applyAlignment="1">
      <alignment vertical="center" textRotation="90"/>
    </xf>
    <xf numFmtId="0" fontId="17" fillId="11" borderId="13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wrapText="1"/>
    </xf>
    <xf numFmtId="0" fontId="18" fillId="11" borderId="2" xfId="0" applyFont="1" applyFill="1" applyBorder="1" applyAlignment="1">
      <alignment horizontal="center"/>
    </xf>
    <xf numFmtId="0" fontId="0" fillId="11" borderId="2" xfId="0" applyFill="1" applyBorder="1"/>
    <xf numFmtId="0" fontId="14" fillId="13" borderId="2" xfId="0" applyFont="1" applyFill="1" applyBorder="1" applyAlignment="1">
      <alignment horizontal="center" wrapText="1"/>
    </xf>
    <xf numFmtId="0" fontId="16" fillId="11" borderId="13" xfId="0" applyFont="1" applyFill="1" applyBorder="1" applyAlignment="1">
      <alignment horizontal="center"/>
    </xf>
    <xf numFmtId="0" fontId="16" fillId="11" borderId="12" xfId="0" applyFont="1" applyFill="1" applyBorder="1" applyAlignment="1">
      <alignment horizontal="center"/>
    </xf>
    <xf numFmtId="0" fontId="16" fillId="11" borderId="11" xfId="0" applyFont="1" applyFill="1" applyBorder="1" applyAlignment="1">
      <alignment horizontal="center"/>
    </xf>
    <xf numFmtId="2" fontId="6" fillId="11" borderId="12" xfId="1" applyNumberFormat="1" applyFont="1" applyFill="1" applyBorder="1" applyAlignment="1">
      <alignment horizontal="center"/>
    </xf>
    <xf numFmtId="9" fontId="0" fillId="12" borderId="15" xfId="1" applyFont="1" applyFill="1" applyBorder="1" applyAlignment="1">
      <alignment horizontal="center"/>
    </xf>
    <xf numFmtId="9" fontId="0" fillId="12" borderId="0" xfId="1" applyFont="1" applyFill="1" applyBorder="1" applyAlignment="1">
      <alignment horizontal="center"/>
    </xf>
    <xf numFmtId="0" fontId="17" fillId="11" borderId="12" xfId="0" applyFont="1" applyFill="1" applyBorder="1" applyAlignment="1">
      <alignment horizontal="center" vertical="center" wrapText="1"/>
    </xf>
    <xf numFmtId="0" fontId="17" fillId="11" borderId="1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9" fillId="6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7" borderId="0" xfId="0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9" borderId="0" xfId="0" applyFont="1" applyFill="1" applyBorder="1" applyAlignment="1">
      <alignment horizontal="left"/>
    </xf>
    <xf numFmtId="0" fontId="4" fillId="0" borderId="0" xfId="2" applyFill="1" applyBorder="1" applyAlignment="1">
      <alignment horizontal="left"/>
    </xf>
    <xf numFmtId="0" fontId="11" fillId="2" borderId="0" xfId="2" applyFont="1" applyBorder="1" applyAlignment="1">
      <alignment horizontal="left"/>
    </xf>
    <xf numFmtId="0" fontId="9" fillId="4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0" fillId="0" borderId="0" xfId="0" applyBorder="1"/>
    <xf numFmtId="0" fontId="9" fillId="8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4" fillId="2" borderId="0" xfId="2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9" fillId="8" borderId="3" xfId="0" applyFont="1" applyFill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3" xfId="0" applyBorder="1"/>
    <xf numFmtId="0" fontId="9" fillId="14" borderId="0" xfId="0" applyFont="1" applyFill="1" applyBorder="1" applyAlignment="1">
      <alignment horizontal="left"/>
    </xf>
    <xf numFmtId="0" fontId="10" fillId="14" borderId="0" xfId="0" applyFont="1" applyFill="1" applyBorder="1" applyAlignment="1">
      <alignment horizontal="left"/>
    </xf>
    <xf numFmtId="0" fontId="0" fillId="14" borderId="0" xfId="0" applyFill="1" applyBorder="1" applyAlignment="1">
      <alignment horizontal="left"/>
    </xf>
    <xf numFmtId="0" fontId="0" fillId="14" borderId="0" xfId="0" applyFont="1" applyFill="1" applyBorder="1" applyAlignment="1">
      <alignment horizontal="left"/>
    </xf>
    <xf numFmtId="0" fontId="0" fillId="14" borderId="0" xfId="0" applyFill="1" applyBorder="1"/>
    <xf numFmtId="0" fontId="6" fillId="14" borderId="0" xfId="0" applyFont="1" applyFill="1" applyBorder="1" applyAlignment="1">
      <alignment horizontal="left"/>
    </xf>
    <xf numFmtId="0" fontId="0" fillId="15" borderId="0" xfId="0" applyFill="1" applyBorder="1" applyAlignment="1">
      <alignment horizontal="left"/>
    </xf>
    <xf numFmtId="0" fontId="6" fillId="15" borderId="0" xfId="0" applyFont="1" applyFill="1" applyBorder="1" applyAlignment="1">
      <alignment horizontal="left"/>
    </xf>
    <xf numFmtId="0" fontId="19" fillId="0" borderId="0" xfId="0" applyFont="1" applyBorder="1"/>
    <xf numFmtId="0" fontId="6" fillId="0" borderId="0" xfId="0" applyFont="1"/>
    <xf numFmtId="0" fontId="4" fillId="16" borderId="0" xfId="2" applyFill="1" applyBorder="1" applyAlignment="1">
      <alignment horizontal="left"/>
    </xf>
    <xf numFmtId="0" fontId="0" fillId="16" borderId="0" xfId="0" applyFill="1" applyBorder="1" applyAlignment="1">
      <alignment horizontal="left"/>
    </xf>
    <xf numFmtId="0" fontId="0" fillId="16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vonne.barkley/Github/BANTER_Pseudorca/output/casestudies_classification_metrics-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SCOPE"/>
      <sheetName val="HICEAS17"/>
      <sheetName val="HICEAS23"/>
      <sheetName val="SCOPE24_SCORES"/>
      <sheetName val="HICEAS17_SCORES"/>
      <sheetName val="HICEAS23_SCORES"/>
    </sheetNames>
    <sheetDataSet>
      <sheetData sheetId="0" refreshError="1"/>
      <sheetData sheetId="1">
        <row r="3">
          <cell r="B3">
            <v>8</v>
          </cell>
          <cell r="C3">
            <v>5</v>
          </cell>
          <cell r="D3">
            <v>3</v>
          </cell>
          <cell r="E3">
            <v>0</v>
          </cell>
          <cell r="L3">
            <v>5</v>
          </cell>
          <cell r="M3">
            <v>5</v>
          </cell>
          <cell r="N3">
            <v>0</v>
          </cell>
          <cell r="O3">
            <v>0</v>
          </cell>
        </row>
        <row r="4">
          <cell r="B4">
            <v>5</v>
          </cell>
          <cell r="C4">
            <v>4</v>
          </cell>
          <cell r="D4">
            <v>1</v>
          </cell>
          <cell r="E4">
            <v>1</v>
          </cell>
          <cell r="L4">
            <v>4</v>
          </cell>
          <cell r="M4">
            <v>4</v>
          </cell>
          <cell r="N4">
            <v>0</v>
          </cell>
          <cell r="O4">
            <v>1</v>
          </cell>
        </row>
        <row r="5">
          <cell r="B5">
            <v>5</v>
          </cell>
          <cell r="C5">
            <v>4</v>
          </cell>
          <cell r="D5">
            <v>1</v>
          </cell>
          <cell r="E5">
            <v>1</v>
          </cell>
          <cell r="L5">
            <v>4</v>
          </cell>
          <cell r="M5">
            <v>4</v>
          </cell>
          <cell r="N5">
            <v>0</v>
          </cell>
          <cell r="O5">
            <v>1</v>
          </cell>
        </row>
        <row r="6">
          <cell r="B6">
            <v>4</v>
          </cell>
          <cell r="C6">
            <v>4</v>
          </cell>
          <cell r="D6">
            <v>0</v>
          </cell>
          <cell r="E6">
            <v>1</v>
          </cell>
          <cell r="L6">
            <v>4</v>
          </cell>
          <cell r="M6">
            <v>4</v>
          </cell>
          <cell r="N6">
            <v>0</v>
          </cell>
          <cell r="O6">
            <v>1</v>
          </cell>
        </row>
        <row r="7">
          <cell r="B7">
            <v>3</v>
          </cell>
          <cell r="C7">
            <v>3</v>
          </cell>
          <cell r="D7">
            <v>0</v>
          </cell>
          <cell r="E7">
            <v>2</v>
          </cell>
          <cell r="L7">
            <v>3</v>
          </cell>
          <cell r="M7">
            <v>3</v>
          </cell>
          <cell r="N7">
            <v>0</v>
          </cell>
          <cell r="O7">
            <v>2</v>
          </cell>
        </row>
        <row r="11">
          <cell r="B11">
            <v>14</v>
          </cell>
          <cell r="C11">
            <v>10</v>
          </cell>
          <cell r="D11">
            <v>4</v>
          </cell>
          <cell r="E11">
            <v>0</v>
          </cell>
          <cell r="L11">
            <v>10</v>
          </cell>
          <cell r="M11">
            <v>10</v>
          </cell>
          <cell r="N11">
            <v>0</v>
          </cell>
          <cell r="O11">
            <v>0</v>
          </cell>
        </row>
        <row r="12">
          <cell r="B12">
            <v>10</v>
          </cell>
          <cell r="C12">
            <v>9</v>
          </cell>
          <cell r="D12">
            <v>1</v>
          </cell>
          <cell r="E12">
            <v>1</v>
          </cell>
          <cell r="L12">
            <v>9</v>
          </cell>
          <cell r="M12">
            <v>9</v>
          </cell>
          <cell r="N12">
            <v>0</v>
          </cell>
          <cell r="O12">
            <v>1</v>
          </cell>
        </row>
        <row r="13">
          <cell r="B13">
            <v>9</v>
          </cell>
          <cell r="C13">
            <v>8</v>
          </cell>
          <cell r="D13">
            <v>1</v>
          </cell>
          <cell r="E13">
            <v>2</v>
          </cell>
          <cell r="L13">
            <v>8</v>
          </cell>
          <cell r="M13">
            <v>8</v>
          </cell>
          <cell r="N13">
            <v>0</v>
          </cell>
          <cell r="O13">
            <v>2</v>
          </cell>
        </row>
        <row r="14">
          <cell r="B14">
            <v>6</v>
          </cell>
          <cell r="C14">
            <v>6</v>
          </cell>
          <cell r="D14">
            <v>0</v>
          </cell>
          <cell r="E14">
            <v>4</v>
          </cell>
          <cell r="L14">
            <v>6</v>
          </cell>
          <cell r="M14">
            <v>6</v>
          </cell>
          <cell r="N14">
            <v>0</v>
          </cell>
          <cell r="O14">
            <v>4</v>
          </cell>
        </row>
        <row r="15">
          <cell r="B15">
            <v>3</v>
          </cell>
          <cell r="C15">
            <v>3</v>
          </cell>
          <cell r="D15">
            <v>0</v>
          </cell>
          <cell r="E15">
            <v>7</v>
          </cell>
          <cell r="L15">
            <v>3</v>
          </cell>
          <cell r="M15">
            <v>3</v>
          </cell>
          <cell r="N15">
            <v>0</v>
          </cell>
          <cell r="O15">
            <v>7</v>
          </cell>
        </row>
      </sheetData>
      <sheetData sheetId="2">
        <row r="3">
          <cell r="B3">
            <v>21</v>
          </cell>
          <cell r="C3">
            <v>21</v>
          </cell>
          <cell r="D3">
            <v>0</v>
          </cell>
          <cell r="E3">
            <v>0</v>
          </cell>
          <cell r="L3">
            <v>21</v>
          </cell>
          <cell r="M3">
            <v>21</v>
          </cell>
          <cell r="N3">
            <v>0</v>
          </cell>
          <cell r="O3">
            <v>0</v>
          </cell>
        </row>
        <row r="4">
          <cell r="B4">
            <v>21</v>
          </cell>
          <cell r="C4">
            <v>21</v>
          </cell>
          <cell r="D4">
            <v>0</v>
          </cell>
          <cell r="E4">
            <v>0</v>
          </cell>
          <cell r="L4">
            <v>21</v>
          </cell>
          <cell r="M4">
            <v>21</v>
          </cell>
          <cell r="N4">
            <v>0</v>
          </cell>
          <cell r="O4">
            <v>0</v>
          </cell>
        </row>
        <row r="5">
          <cell r="B5">
            <v>20</v>
          </cell>
          <cell r="C5">
            <v>20</v>
          </cell>
          <cell r="D5">
            <v>0</v>
          </cell>
          <cell r="E5">
            <v>1</v>
          </cell>
          <cell r="L5">
            <v>20</v>
          </cell>
          <cell r="M5">
            <v>20</v>
          </cell>
          <cell r="N5">
            <v>0</v>
          </cell>
          <cell r="O5">
            <v>1</v>
          </cell>
        </row>
        <row r="6">
          <cell r="B6">
            <v>17</v>
          </cell>
          <cell r="C6">
            <v>17</v>
          </cell>
          <cell r="D6">
            <v>0</v>
          </cell>
          <cell r="E6">
            <v>4</v>
          </cell>
          <cell r="L6">
            <v>17</v>
          </cell>
          <cell r="M6">
            <v>17</v>
          </cell>
          <cell r="N6">
            <v>0</v>
          </cell>
          <cell r="O6">
            <v>4</v>
          </cell>
        </row>
        <row r="7">
          <cell r="B7">
            <v>5</v>
          </cell>
          <cell r="C7">
            <v>5</v>
          </cell>
          <cell r="D7">
            <v>0</v>
          </cell>
          <cell r="E7">
            <v>16</v>
          </cell>
          <cell r="L7">
            <v>5</v>
          </cell>
          <cell r="M7">
            <v>5</v>
          </cell>
          <cell r="N7">
            <v>0</v>
          </cell>
          <cell r="O7">
            <v>16</v>
          </cell>
        </row>
        <row r="11">
          <cell r="B11">
            <v>68</v>
          </cell>
          <cell r="C11">
            <v>33</v>
          </cell>
          <cell r="D11">
            <v>35</v>
          </cell>
          <cell r="E11">
            <v>0</v>
          </cell>
          <cell r="L11">
            <v>33</v>
          </cell>
          <cell r="M11">
            <v>33</v>
          </cell>
          <cell r="N11">
            <v>0</v>
          </cell>
          <cell r="O11">
            <v>0</v>
          </cell>
        </row>
        <row r="12">
          <cell r="B12">
            <v>54</v>
          </cell>
          <cell r="C12">
            <v>33</v>
          </cell>
          <cell r="D12">
            <v>21</v>
          </cell>
          <cell r="E12">
            <v>0</v>
          </cell>
          <cell r="L12">
            <v>33</v>
          </cell>
          <cell r="M12">
            <v>33</v>
          </cell>
          <cell r="N12">
            <v>0</v>
          </cell>
          <cell r="O12">
            <v>0</v>
          </cell>
        </row>
        <row r="13">
          <cell r="B13">
            <v>39</v>
          </cell>
          <cell r="C13">
            <v>29</v>
          </cell>
          <cell r="D13">
            <v>10</v>
          </cell>
          <cell r="E13">
            <v>4</v>
          </cell>
          <cell r="L13">
            <v>29</v>
          </cell>
          <cell r="M13">
            <v>29</v>
          </cell>
          <cell r="N13">
            <v>0</v>
          </cell>
          <cell r="O13">
            <v>4</v>
          </cell>
        </row>
        <row r="14">
          <cell r="B14">
            <v>27</v>
          </cell>
          <cell r="C14">
            <v>25</v>
          </cell>
          <cell r="D14">
            <v>2</v>
          </cell>
          <cell r="E14">
            <v>8</v>
          </cell>
          <cell r="L14">
            <v>25</v>
          </cell>
          <cell r="M14">
            <v>25</v>
          </cell>
          <cell r="N14">
            <v>0</v>
          </cell>
          <cell r="O14">
            <v>8</v>
          </cell>
        </row>
        <row r="15">
          <cell r="B15">
            <v>6</v>
          </cell>
          <cell r="C15">
            <v>6</v>
          </cell>
          <cell r="D15">
            <v>0</v>
          </cell>
          <cell r="E15">
            <v>27</v>
          </cell>
          <cell r="L15">
            <v>6</v>
          </cell>
          <cell r="M15">
            <v>6</v>
          </cell>
          <cell r="N15">
            <v>0</v>
          </cell>
          <cell r="O15">
            <v>27</v>
          </cell>
        </row>
      </sheetData>
      <sheetData sheetId="3">
        <row r="3">
          <cell r="B3">
            <v>11</v>
          </cell>
          <cell r="C3">
            <v>5</v>
          </cell>
          <cell r="D3">
            <v>6</v>
          </cell>
          <cell r="E3">
            <v>0</v>
          </cell>
          <cell r="L3">
            <v>5</v>
          </cell>
          <cell r="M3">
            <v>5</v>
          </cell>
          <cell r="N3">
            <v>0</v>
          </cell>
          <cell r="O3">
            <v>0</v>
          </cell>
        </row>
        <row r="4">
          <cell r="B4">
            <v>6</v>
          </cell>
          <cell r="C4">
            <v>5</v>
          </cell>
          <cell r="D4">
            <v>1</v>
          </cell>
          <cell r="E4">
            <v>0</v>
          </cell>
          <cell r="L4">
            <v>5</v>
          </cell>
          <cell r="M4">
            <v>5</v>
          </cell>
          <cell r="N4">
            <v>0</v>
          </cell>
          <cell r="O4">
            <v>0</v>
          </cell>
        </row>
        <row r="5">
          <cell r="B5">
            <v>6</v>
          </cell>
          <cell r="C5">
            <v>5</v>
          </cell>
          <cell r="D5">
            <v>1</v>
          </cell>
          <cell r="E5">
            <v>0</v>
          </cell>
          <cell r="L5">
            <v>5</v>
          </cell>
          <cell r="M5">
            <v>5</v>
          </cell>
          <cell r="N5">
            <v>0</v>
          </cell>
          <cell r="O5">
            <v>0</v>
          </cell>
        </row>
        <row r="6">
          <cell r="B6">
            <v>2</v>
          </cell>
          <cell r="C6">
            <v>2</v>
          </cell>
          <cell r="D6">
            <v>0</v>
          </cell>
          <cell r="E6">
            <v>3</v>
          </cell>
          <cell r="L6">
            <v>2</v>
          </cell>
          <cell r="M6">
            <v>2</v>
          </cell>
          <cell r="N6">
            <v>0</v>
          </cell>
          <cell r="O6">
            <v>3</v>
          </cell>
        </row>
        <row r="7">
          <cell r="B7">
            <v>2</v>
          </cell>
          <cell r="C7">
            <v>2</v>
          </cell>
          <cell r="D7">
            <v>0</v>
          </cell>
          <cell r="E7">
            <v>3</v>
          </cell>
          <cell r="L7">
            <v>2</v>
          </cell>
          <cell r="M7">
            <v>2</v>
          </cell>
          <cell r="N7">
            <v>0</v>
          </cell>
          <cell r="O7">
            <v>3</v>
          </cell>
        </row>
        <row r="11">
          <cell r="B11">
            <v>51</v>
          </cell>
          <cell r="C11">
            <v>14</v>
          </cell>
          <cell r="D11">
            <v>35</v>
          </cell>
          <cell r="E11">
            <v>0</v>
          </cell>
          <cell r="L11">
            <v>14</v>
          </cell>
          <cell r="M11">
            <v>14</v>
          </cell>
          <cell r="N11">
            <v>0</v>
          </cell>
          <cell r="O11">
            <v>0</v>
          </cell>
        </row>
        <row r="12">
          <cell r="B12">
            <v>31</v>
          </cell>
          <cell r="C12">
            <v>10</v>
          </cell>
          <cell r="D12">
            <v>19</v>
          </cell>
          <cell r="E12">
            <v>4</v>
          </cell>
          <cell r="L12">
            <v>10</v>
          </cell>
          <cell r="M12">
            <v>10</v>
          </cell>
          <cell r="N12">
            <v>0</v>
          </cell>
          <cell r="O12">
            <v>4</v>
          </cell>
        </row>
        <row r="13">
          <cell r="B13">
            <v>21</v>
          </cell>
          <cell r="C13">
            <v>8</v>
          </cell>
          <cell r="D13">
            <v>11</v>
          </cell>
          <cell r="E13">
            <v>6</v>
          </cell>
          <cell r="L13">
            <v>8</v>
          </cell>
          <cell r="M13">
            <v>8</v>
          </cell>
          <cell r="N13">
            <v>0</v>
          </cell>
          <cell r="O13">
            <v>6</v>
          </cell>
        </row>
        <row r="14">
          <cell r="B14">
            <v>6</v>
          </cell>
          <cell r="C14">
            <v>4</v>
          </cell>
          <cell r="D14">
            <v>2</v>
          </cell>
          <cell r="E14">
            <v>10</v>
          </cell>
          <cell r="L14">
            <v>4</v>
          </cell>
          <cell r="M14">
            <v>4</v>
          </cell>
          <cell r="N14">
            <v>0</v>
          </cell>
          <cell r="O14">
            <v>10</v>
          </cell>
        </row>
        <row r="15">
          <cell r="B15">
            <v>3</v>
          </cell>
          <cell r="C15">
            <v>3</v>
          </cell>
          <cell r="D15">
            <v>0</v>
          </cell>
          <cell r="E15">
            <v>11</v>
          </cell>
          <cell r="L15">
            <v>3</v>
          </cell>
          <cell r="M15">
            <v>3</v>
          </cell>
          <cell r="N15">
            <v>0</v>
          </cell>
          <cell r="O15">
            <v>11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BBBE-F6A5-4E67-AD37-91C1098F6A11}">
  <dimension ref="C2:Y31"/>
  <sheetViews>
    <sheetView tabSelected="1" topLeftCell="D10" zoomScale="120" zoomScaleNormal="120" workbookViewId="0">
      <selection activeCell="T22" sqref="P22:T22"/>
    </sheetView>
  </sheetViews>
  <sheetFormatPr defaultRowHeight="14.4" x14ac:dyDescent="0.3"/>
  <cols>
    <col min="1" max="2" width="20.21875" customWidth="1"/>
    <col min="3" max="3" width="16.77734375" customWidth="1"/>
    <col min="4" max="4" width="16.88671875" customWidth="1"/>
    <col min="5" max="5" width="13.33203125" bestFit="1" customWidth="1"/>
    <col min="6" max="6" width="9.33203125" customWidth="1"/>
    <col min="7" max="7" width="10" customWidth="1"/>
    <col min="8" max="11" width="5.5546875" customWidth="1"/>
    <col min="12" max="12" width="11.6640625" customWidth="1"/>
    <col min="13" max="13" width="7.21875" customWidth="1"/>
    <col min="14" max="14" width="10" customWidth="1"/>
    <col min="16" max="16" width="9.77734375" customWidth="1"/>
  </cols>
  <sheetData>
    <row r="2" spans="3:24" ht="46.8" customHeight="1" x14ac:dyDescent="0.55000000000000004">
      <c r="E2" s="76"/>
      <c r="F2" s="75"/>
      <c r="G2" s="75"/>
      <c r="H2" s="75"/>
      <c r="I2" s="75"/>
      <c r="J2" s="75"/>
      <c r="K2" s="75"/>
      <c r="L2" s="75"/>
      <c r="M2" s="75"/>
    </row>
    <row r="3" spans="3:24" ht="37.200000000000003" customHeight="1" x14ac:dyDescent="0.5">
      <c r="D3" s="46"/>
      <c r="E3" s="74" t="s">
        <v>112</v>
      </c>
      <c r="F3" s="73" t="s">
        <v>111</v>
      </c>
      <c r="G3" s="84"/>
      <c r="H3" s="84"/>
      <c r="I3" s="84"/>
      <c r="J3" s="84"/>
      <c r="K3" s="84"/>
      <c r="L3" s="84"/>
      <c r="M3" s="84"/>
      <c r="N3" s="84"/>
      <c r="O3" s="85"/>
      <c r="P3" s="78" t="s">
        <v>110</v>
      </c>
      <c r="Q3" s="79"/>
      <c r="R3" s="79"/>
      <c r="S3" s="79"/>
      <c r="T3" s="79"/>
      <c r="U3" s="79"/>
      <c r="V3" s="79"/>
      <c r="W3" s="79"/>
      <c r="X3" s="80"/>
    </row>
    <row r="4" spans="3:24" ht="31.8" customHeight="1" x14ac:dyDescent="0.3">
      <c r="C4" s="65"/>
      <c r="D4" s="72"/>
      <c r="E4" s="71"/>
      <c r="F4" s="70" t="s">
        <v>109</v>
      </c>
      <c r="G4" s="70" t="s">
        <v>108</v>
      </c>
      <c r="H4" s="70" t="s">
        <v>14</v>
      </c>
      <c r="I4" s="70" t="s">
        <v>15</v>
      </c>
      <c r="J4" s="77" t="s">
        <v>107</v>
      </c>
      <c r="K4" s="70" t="s">
        <v>106</v>
      </c>
      <c r="L4" s="69" t="s">
        <v>105</v>
      </c>
      <c r="M4" s="69" t="s">
        <v>104</v>
      </c>
      <c r="N4" s="81" t="s">
        <v>113</v>
      </c>
      <c r="O4" s="68" t="s">
        <v>114</v>
      </c>
      <c r="P4" s="70" t="s">
        <v>108</v>
      </c>
      <c r="Q4" s="70" t="s">
        <v>14</v>
      </c>
      <c r="R4" s="70" t="s">
        <v>15</v>
      </c>
      <c r="S4" s="77" t="s">
        <v>107</v>
      </c>
      <c r="T4" s="70" t="s">
        <v>106</v>
      </c>
      <c r="U4" s="69" t="s">
        <v>105</v>
      </c>
      <c r="V4" s="69" t="s">
        <v>104</v>
      </c>
      <c r="W4" s="69" t="s">
        <v>113</v>
      </c>
      <c r="X4" s="68" t="s">
        <v>114</v>
      </c>
    </row>
    <row r="5" spans="3:24" x14ac:dyDescent="0.3">
      <c r="C5" s="65"/>
      <c r="D5" s="64"/>
      <c r="E5" s="58">
        <v>0.5</v>
      </c>
      <c r="F5" s="56" t="s">
        <v>103</v>
      </c>
      <c r="G5" s="56">
        <v>40</v>
      </c>
      <c r="H5" s="56">
        <v>31</v>
      </c>
      <c r="I5" s="56">
        <v>9</v>
      </c>
      <c r="J5" s="56">
        <f>121+90+8</f>
        <v>219</v>
      </c>
      <c r="K5" s="56">
        <v>0</v>
      </c>
      <c r="L5" s="55">
        <v>3.9473684210526314E-2</v>
      </c>
      <c r="M5" s="55">
        <v>0</v>
      </c>
      <c r="N5" s="55">
        <v>0.77500000000000002</v>
      </c>
      <c r="O5" s="55">
        <v>1</v>
      </c>
      <c r="P5" s="67">
        <v>133</v>
      </c>
      <c r="Q5" s="56">
        <v>57</v>
      </c>
      <c r="R5" s="56">
        <v>74</v>
      </c>
      <c r="S5" s="56">
        <v>931</v>
      </c>
      <c r="T5" s="56">
        <v>0</v>
      </c>
      <c r="U5" s="55">
        <v>7.3631840796019907E-2</v>
      </c>
      <c r="V5" s="82">
        <v>0</v>
      </c>
      <c r="W5" s="55">
        <v>0.4351145038167939</v>
      </c>
      <c r="X5" s="66">
        <v>1</v>
      </c>
    </row>
    <row r="6" spans="3:24" x14ac:dyDescent="0.3">
      <c r="C6" s="65"/>
      <c r="D6" s="64"/>
      <c r="E6" s="63">
        <v>0.5</v>
      </c>
      <c r="F6" s="61" t="s">
        <v>102</v>
      </c>
      <c r="G6" s="61">
        <v>31</v>
      </c>
      <c r="H6" s="61">
        <v>31</v>
      </c>
      <c r="I6" s="61">
        <v>0</v>
      </c>
      <c r="J6" s="86">
        <f>121+90+8</f>
        <v>219</v>
      </c>
      <c r="K6" s="61">
        <v>0</v>
      </c>
      <c r="L6" s="60">
        <v>0</v>
      </c>
      <c r="M6" s="60">
        <v>0</v>
      </c>
      <c r="N6" s="60">
        <v>1</v>
      </c>
      <c r="O6" s="60">
        <v>1</v>
      </c>
      <c r="P6" s="62">
        <v>57</v>
      </c>
      <c r="Q6" s="61">
        <v>57</v>
      </c>
      <c r="R6" s="61">
        <v>0</v>
      </c>
      <c r="S6" s="61">
        <v>931</v>
      </c>
      <c r="T6" s="61">
        <v>0</v>
      </c>
      <c r="U6" s="60">
        <v>0</v>
      </c>
      <c r="V6" s="47">
        <v>0</v>
      </c>
      <c r="W6" s="60">
        <v>1</v>
      </c>
      <c r="X6" s="59">
        <v>1</v>
      </c>
    </row>
    <row r="7" spans="3:24" x14ac:dyDescent="0.3">
      <c r="C7" s="65"/>
      <c r="D7" s="64"/>
      <c r="E7" s="58">
        <v>0.6</v>
      </c>
      <c r="F7" s="56" t="s">
        <v>103</v>
      </c>
      <c r="G7" s="56">
        <v>32</v>
      </c>
      <c r="H7" s="56">
        <v>30</v>
      </c>
      <c r="I7" s="56">
        <v>2</v>
      </c>
      <c r="J7" s="56">
        <f>121+90+8</f>
        <v>219</v>
      </c>
      <c r="K7" s="56">
        <v>1</v>
      </c>
      <c r="L7" s="55">
        <v>9.0497737556561094E-3</v>
      </c>
      <c r="M7" s="55">
        <v>3.2258064516129031E-2</v>
      </c>
      <c r="N7" s="55">
        <v>0.9375</v>
      </c>
      <c r="O7" s="55">
        <v>0.967741935483871</v>
      </c>
      <c r="P7" s="57">
        <v>95</v>
      </c>
      <c r="Q7" s="56">
        <v>52</v>
      </c>
      <c r="R7" s="56">
        <v>41</v>
      </c>
      <c r="S7" s="56">
        <v>931</v>
      </c>
      <c r="T7" s="56">
        <v>5</v>
      </c>
      <c r="U7" s="55">
        <v>4.2181069958847739E-2</v>
      </c>
      <c r="V7" s="83">
        <v>8.771929824561403E-2</v>
      </c>
      <c r="W7" s="55">
        <v>0.55913978494623651</v>
      </c>
      <c r="X7" s="54">
        <v>0.91228070175438591</v>
      </c>
    </row>
    <row r="8" spans="3:24" x14ac:dyDescent="0.3">
      <c r="C8" s="65"/>
      <c r="D8" s="64"/>
      <c r="E8" s="63">
        <v>0.6</v>
      </c>
      <c r="F8" s="61" t="s">
        <v>102</v>
      </c>
      <c r="G8" s="61">
        <v>30</v>
      </c>
      <c r="H8" s="61">
        <v>30</v>
      </c>
      <c r="I8" s="61">
        <v>0</v>
      </c>
      <c r="J8" s="61">
        <f>121+90+8</f>
        <v>219</v>
      </c>
      <c r="K8" s="61">
        <v>1</v>
      </c>
      <c r="L8" s="60">
        <v>0</v>
      </c>
      <c r="M8" s="60">
        <v>3.2258064516129031E-2</v>
      </c>
      <c r="N8" s="60">
        <v>1</v>
      </c>
      <c r="O8" s="60">
        <v>0.967741935483871</v>
      </c>
      <c r="P8" s="62">
        <v>52</v>
      </c>
      <c r="Q8" s="61">
        <v>52</v>
      </c>
      <c r="R8" s="61">
        <v>0</v>
      </c>
      <c r="S8" s="61">
        <v>931</v>
      </c>
      <c r="T8" s="61">
        <v>5</v>
      </c>
      <c r="U8" s="60">
        <v>0</v>
      </c>
      <c r="V8" s="47">
        <v>8.771929824561403E-2</v>
      </c>
      <c r="W8" s="60">
        <v>1</v>
      </c>
      <c r="X8" s="59">
        <v>0.91228070175438591</v>
      </c>
    </row>
    <row r="9" spans="3:24" x14ac:dyDescent="0.3">
      <c r="D9" s="64"/>
      <c r="E9" s="58">
        <v>0.7</v>
      </c>
      <c r="F9" s="56" t="s">
        <v>103</v>
      </c>
      <c r="G9" s="56">
        <v>31</v>
      </c>
      <c r="H9" s="56">
        <v>29</v>
      </c>
      <c r="I9" s="56">
        <v>2</v>
      </c>
      <c r="J9" s="56">
        <f>121+90+8</f>
        <v>219</v>
      </c>
      <c r="K9" s="56">
        <v>2</v>
      </c>
      <c r="L9" s="55">
        <v>9.0497737556561094E-3</v>
      </c>
      <c r="M9" s="55">
        <v>6.4516129032258063E-2</v>
      </c>
      <c r="N9" s="55">
        <v>0.93548387096774188</v>
      </c>
      <c r="O9" s="55">
        <v>0.93548387096774188</v>
      </c>
      <c r="P9" s="57">
        <v>69</v>
      </c>
      <c r="Q9" s="56">
        <v>45</v>
      </c>
      <c r="R9" s="56">
        <v>22</v>
      </c>
      <c r="S9" s="56">
        <v>931</v>
      </c>
      <c r="T9" s="56">
        <v>12</v>
      </c>
      <c r="U9" s="55">
        <v>2.3084994753410283E-2</v>
      </c>
      <c r="V9" s="83">
        <v>0.21052631578947367</v>
      </c>
      <c r="W9" s="55">
        <v>0.67164179104477617</v>
      </c>
      <c r="X9" s="54">
        <v>0.78947368421052633</v>
      </c>
    </row>
    <row r="10" spans="3:24" x14ac:dyDescent="0.3">
      <c r="E10" s="63">
        <v>0.7</v>
      </c>
      <c r="F10" s="61" t="s">
        <v>102</v>
      </c>
      <c r="G10" s="61">
        <v>29</v>
      </c>
      <c r="H10" s="61">
        <v>29</v>
      </c>
      <c r="I10" s="61">
        <v>0</v>
      </c>
      <c r="J10" s="61">
        <f>121+90+8</f>
        <v>219</v>
      </c>
      <c r="K10" s="61">
        <v>2</v>
      </c>
      <c r="L10" s="60">
        <v>0</v>
      </c>
      <c r="M10" s="60">
        <v>6.4516129032258063E-2</v>
      </c>
      <c r="N10" s="60">
        <v>1</v>
      </c>
      <c r="O10" s="60">
        <v>0.93548387096774188</v>
      </c>
      <c r="P10" s="62">
        <v>45</v>
      </c>
      <c r="Q10" s="61">
        <v>45</v>
      </c>
      <c r="R10" s="61">
        <v>0</v>
      </c>
      <c r="S10" s="61">
        <v>931</v>
      </c>
      <c r="T10" s="61">
        <v>12</v>
      </c>
      <c r="U10" s="60">
        <v>0</v>
      </c>
      <c r="V10" s="47">
        <v>0.21052631578947367</v>
      </c>
      <c r="W10" s="60">
        <v>1</v>
      </c>
      <c r="X10" s="59">
        <v>0.78947368421052633</v>
      </c>
    </row>
    <row r="11" spans="3:24" x14ac:dyDescent="0.3">
      <c r="E11" s="58">
        <v>0.8</v>
      </c>
      <c r="F11" s="56" t="s">
        <v>103</v>
      </c>
      <c r="G11" s="56">
        <v>23</v>
      </c>
      <c r="H11" s="56">
        <v>23</v>
      </c>
      <c r="I11" s="56">
        <v>0</v>
      </c>
      <c r="J11" s="56">
        <f>121+90+8</f>
        <v>219</v>
      </c>
      <c r="K11" s="56">
        <v>8</v>
      </c>
      <c r="L11" s="55">
        <v>0</v>
      </c>
      <c r="M11" s="55">
        <v>0.25806451612903225</v>
      </c>
      <c r="N11" s="55">
        <v>1</v>
      </c>
      <c r="O11" s="55">
        <v>0.74193548387096775</v>
      </c>
      <c r="P11" s="57">
        <v>39</v>
      </c>
      <c r="Q11" s="56">
        <v>35</v>
      </c>
      <c r="R11" s="56">
        <v>4</v>
      </c>
      <c r="S11" s="56">
        <v>931</v>
      </c>
      <c r="T11" s="56">
        <v>22</v>
      </c>
      <c r="U11" s="55">
        <v>4.2780748663101605E-3</v>
      </c>
      <c r="V11" s="83">
        <v>0.38596491228070173</v>
      </c>
      <c r="W11" s="55">
        <v>0.89743589743589747</v>
      </c>
      <c r="X11" s="54">
        <v>0.61403508771929827</v>
      </c>
    </row>
    <row r="12" spans="3:24" x14ac:dyDescent="0.3">
      <c r="E12" s="63">
        <v>0.8</v>
      </c>
      <c r="F12" s="61" t="s">
        <v>102</v>
      </c>
      <c r="G12" s="61">
        <v>23</v>
      </c>
      <c r="H12" s="61">
        <v>23</v>
      </c>
      <c r="I12" s="61">
        <v>0</v>
      </c>
      <c r="J12" s="61">
        <f>121+90+8</f>
        <v>219</v>
      </c>
      <c r="K12" s="61">
        <v>8</v>
      </c>
      <c r="L12" s="60">
        <v>0</v>
      </c>
      <c r="M12" s="60">
        <v>0.25806451612903225</v>
      </c>
      <c r="N12" s="60">
        <v>1</v>
      </c>
      <c r="O12" s="60">
        <v>0.74193548387096775</v>
      </c>
      <c r="P12" s="62">
        <v>35</v>
      </c>
      <c r="Q12" s="61">
        <v>35</v>
      </c>
      <c r="R12" s="61">
        <v>0</v>
      </c>
      <c r="S12" s="61">
        <v>931</v>
      </c>
      <c r="T12" s="61">
        <v>22</v>
      </c>
      <c r="U12" s="60">
        <v>0</v>
      </c>
      <c r="V12" s="47">
        <v>0.38596491228070173</v>
      </c>
      <c r="W12" s="60">
        <v>1</v>
      </c>
      <c r="X12" s="59">
        <v>0.61403508771929827</v>
      </c>
    </row>
    <row r="13" spans="3:24" x14ac:dyDescent="0.3">
      <c r="E13" s="58">
        <v>0.9</v>
      </c>
      <c r="F13" s="56" t="s">
        <v>103</v>
      </c>
      <c r="G13" s="56">
        <v>10</v>
      </c>
      <c r="H13" s="56">
        <v>10</v>
      </c>
      <c r="I13" s="56">
        <v>0</v>
      </c>
      <c r="J13" s="56">
        <f>121+90+8</f>
        <v>219</v>
      </c>
      <c r="K13" s="56">
        <v>21</v>
      </c>
      <c r="L13" s="55">
        <v>0</v>
      </c>
      <c r="M13" s="55">
        <v>0.67741935483870963</v>
      </c>
      <c r="N13" s="55">
        <v>1</v>
      </c>
      <c r="O13" s="55">
        <v>0.32258064516129031</v>
      </c>
      <c r="P13" s="57">
        <v>12</v>
      </c>
      <c r="Q13" s="56">
        <v>12</v>
      </c>
      <c r="R13" s="56">
        <v>0</v>
      </c>
      <c r="S13" s="56">
        <v>931</v>
      </c>
      <c r="T13" s="56">
        <v>45</v>
      </c>
      <c r="U13" s="55">
        <v>0</v>
      </c>
      <c r="V13" s="83">
        <v>0.78947368421052633</v>
      </c>
      <c r="W13" s="55">
        <v>1</v>
      </c>
      <c r="X13" s="54">
        <v>0.21052631578947367</v>
      </c>
    </row>
    <row r="14" spans="3:24" x14ac:dyDescent="0.3">
      <c r="E14" s="53">
        <v>0.9</v>
      </c>
      <c r="F14" s="50" t="s">
        <v>102</v>
      </c>
      <c r="G14" s="50">
        <v>10</v>
      </c>
      <c r="H14" s="50">
        <v>10</v>
      </c>
      <c r="I14" s="50">
        <v>0</v>
      </c>
      <c r="J14" s="50">
        <f>121+90+8</f>
        <v>219</v>
      </c>
      <c r="K14" s="50">
        <v>21</v>
      </c>
      <c r="L14" s="52">
        <v>0</v>
      </c>
      <c r="M14" s="52">
        <v>0.67741935483870963</v>
      </c>
      <c r="N14" s="52">
        <v>1</v>
      </c>
      <c r="O14" s="52">
        <v>0.32258064516129031</v>
      </c>
      <c r="P14" s="51">
        <v>12</v>
      </c>
      <c r="Q14" s="50">
        <v>12</v>
      </c>
      <c r="R14" s="50">
        <v>0</v>
      </c>
      <c r="S14" s="50">
        <v>931</v>
      </c>
      <c r="T14" s="50">
        <v>45</v>
      </c>
      <c r="U14" s="52">
        <v>0</v>
      </c>
      <c r="V14" s="52">
        <v>0.78947368421052633</v>
      </c>
      <c r="W14" s="52">
        <v>1</v>
      </c>
      <c r="X14" s="49">
        <v>0.21052631578947367</v>
      </c>
    </row>
    <row r="15" spans="3:24" x14ac:dyDescent="0.3">
      <c r="E15" s="46"/>
      <c r="F15" s="48"/>
      <c r="G15" s="47"/>
      <c r="H15" s="47"/>
      <c r="I15" s="47"/>
      <c r="J15" s="47"/>
      <c r="K15" s="47"/>
      <c r="L15" s="47"/>
      <c r="M15" s="47"/>
      <c r="N15" s="47"/>
      <c r="O15" s="46"/>
    </row>
    <row r="16" spans="3:24" x14ac:dyDescent="0.3">
      <c r="E16" s="46"/>
      <c r="F16" s="48"/>
      <c r="G16" s="46"/>
      <c r="H16" s="46"/>
      <c r="I16" s="47"/>
      <c r="J16" s="47"/>
      <c r="K16" s="47"/>
      <c r="L16" s="47"/>
      <c r="M16" s="47"/>
      <c r="N16" s="47"/>
      <c r="O16" s="46"/>
    </row>
    <row r="17" spans="3:25" x14ac:dyDescent="0.3">
      <c r="E17" s="46"/>
      <c r="F17" s="48"/>
      <c r="G17" s="46"/>
      <c r="H17" t="s">
        <v>115</v>
      </c>
      <c r="I17" s="47"/>
      <c r="J17" s="47"/>
      <c r="K17" s="47"/>
      <c r="L17" s="47"/>
      <c r="M17" s="47"/>
      <c r="N17" s="47"/>
      <c r="O17" s="46"/>
      <c r="R17" t="s">
        <v>116</v>
      </c>
    </row>
    <row r="18" spans="3:25" x14ac:dyDescent="0.3">
      <c r="H18">
        <f>SUM(G22:K22)</f>
        <v>299</v>
      </c>
      <c r="R18">
        <f>SUM(Q22:T22)</f>
        <v>1067</v>
      </c>
    </row>
    <row r="20" spans="3:25" ht="25.8" x14ac:dyDescent="0.5">
      <c r="E20" s="74" t="s">
        <v>112</v>
      </c>
      <c r="F20" s="73" t="s">
        <v>111</v>
      </c>
      <c r="G20" s="84"/>
      <c r="H20" s="84"/>
      <c r="I20" s="84"/>
      <c r="J20" s="84"/>
      <c r="K20" s="84"/>
      <c r="L20" s="84"/>
      <c r="M20" s="84"/>
      <c r="N20" s="84"/>
      <c r="O20" s="85"/>
      <c r="P20" s="78" t="s">
        <v>110</v>
      </c>
      <c r="Q20" s="79"/>
      <c r="R20" s="79"/>
      <c r="S20" s="79"/>
      <c r="T20" s="79"/>
      <c r="U20" s="79"/>
      <c r="V20" s="79"/>
      <c r="W20" s="79"/>
      <c r="X20" s="80"/>
    </row>
    <row r="21" spans="3:25" ht="31.2" x14ac:dyDescent="0.3">
      <c r="C21" t="s">
        <v>117</v>
      </c>
      <c r="D21" t="s">
        <v>118</v>
      </c>
      <c r="E21" s="71"/>
      <c r="F21" s="70" t="s">
        <v>109</v>
      </c>
      <c r="G21" s="70" t="s">
        <v>119</v>
      </c>
      <c r="H21" s="70" t="s">
        <v>14</v>
      </c>
      <c r="I21" s="70" t="s">
        <v>15</v>
      </c>
      <c r="J21" s="77" t="s">
        <v>107</v>
      </c>
      <c r="K21" s="70" t="s">
        <v>106</v>
      </c>
      <c r="L21" s="69" t="s">
        <v>105</v>
      </c>
      <c r="M21" s="69" t="s">
        <v>104</v>
      </c>
      <c r="N21" s="81" t="s">
        <v>113</v>
      </c>
      <c r="O21" s="68" t="s">
        <v>114</v>
      </c>
      <c r="P21" s="70" t="s">
        <v>119</v>
      </c>
      <c r="Q21" s="70" t="s">
        <v>14</v>
      </c>
      <c r="R21" s="70" t="s">
        <v>15</v>
      </c>
      <c r="S21" s="77" t="s">
        <v>107</v>
      </c>
      <c r="T21" s="70" t="s">
        <v>106</v>
      </c>
      <c r="U21" s="69" t="s">
        <v>105</v>
      </c>
      <c r="V21" s="69" t="s">
        <v>104</v>
      </c>
      <c r="W21" s="69" t="s">
        <v>113</v>
      </c>
      <c r="X21" s="68" t="s">
        <v>114</v>
      </c>
    </row>
    <row r="22" spans="3:25" x14ac:dyDescent="0.3">
      <c r="C22">
        <f>H22+I22</f>
        <v>40</v>
      </c>
      <c r="D22">
        <f>Q22+R22</f>
        <v>133</v>
      </c>
      <c r="E22" s="58">
        <v>0.5</v>
      </c>
      <c r="F22" s="56" t="s">
        <v>103</v>
      </c>
      <c r="G22" s="56">
        <v>40</v>
      </c>
      <c r="H22" s="56">
        <v>31</v>
      </c>
      <c r="I22" s="56">
        <v>9</v>
      </c>
      <c r="J22" s="56">
        <f>121+90+8</f>
        <v>219</v>
      </c>
      <c r="K22" s="56">
        <v>0</v>
      </c>
      <c r="L22" s="55">
        <v>3.9473684210526314E-2</v>
      </c>
      <c r="M22" s="55">
        <v>0</v>
      </c>
      <c r="N22" s="55">
        <v>0.77500000000000002</v>
      </c>
      <c r="O22" s="55">
        <v>1</v>
      </c>
      <c r="P22" s="67">
        <v>133</v>
      </c>
      <c r="Q22" s="56">
        <v>58</v>
      </c>
      <c r="R22" s="56">
        <v>75</v>
      </c>
      <c r="S22" s="56">
        <v>933</v>
      </c>
      <c r="T22" s="56">
        <v>1</v>
      </c>
      <c r="U22" s="55">
        <f>R22/(R22+S22)</f>
        <v>7.4404761904761904E-2</v>
      </c>
      <c r="V22" s="82">
        <f>T22/(T22+Q22)</f>
        <v>1.6949152542372881E-2</v>
      </c>
      <c r="W22" s="55">
        <f>Q22/(Q22+R22)</f>
        <v>0.43609022556390975</v>
      </c>
      <c r="X22" s="66">
        <f>Q22/(Q22+T22)</f>
        <v>0.98305084745762716</v>
      </c>
      <c r="Y22">
        <f>SUM(Q22:T22)</f>
        <v>1067</v>
      </c>
    </row>
    <row r="23" spans="3:25" x14ac:dyDescent="0.3">
      <c r="C23">
        <f t="shared" ref="C23:C31" si="0">H23+I23</f>
        <v>32</v>
      </c>
      <c r="D23">
        <f t="shared" ref="D23:D31" si="1">Q23+R23</f>
        <v>95</v>
      </c>
      <c r="E23" s="58">
        <v>0.6</v>
      </c>
      <c r="F23" s="56" t="s">
        <v>103</v>
      </c>
      <c r="G23" s="56">
        <v>32</v>
      </c>
      <c r="H23" s="56">
        <v>30</v>
      </c>
      <c r="I23" s="56">
        <v>2</v>
      </c>
      <c r="J23" s="56">
        <f>121+90+8</f>
        <v>219</v>
      </c>
      <c r="K23" s="56">
        <v>1</v>
      </c>
      <c r="L23" s="55">
        <v>9.0497737556561094E-3</v>
      </c>
      <c r="M23" s="55">
        <v>3.2258064516129031E-2</v>
      </c>
      <c r="N23" s="55">
        <v>0.9375</v>
      </c>
      <c r="O23" s="55">
        <v>0.967741935483871</v>
      </c>
      <c r="P23" s="57">
        <v>95</v>
      </c>
      <c r="Q23" s="56">
        <v>53</v>
      </c>
      <c r="R23" s="56">
        <v>42</v>
      </c>
      <c r="S23" s="56">
        <v>933</v>
      </c>
      <c r="T23" s="56">
        <v>6</v>
      </c>
      <c r="U23" s="55">
        <f t="shared" ref="U23:U31" si="2">R23/(R23+S23)</f>
        <v>4.3076923076923075E-2</v>
      </c>
      <c r="V23" s="83">
        <f>T23/(T23+Q23)</f>
        <v>0.10169491525423729</v>
      </c>
      <c r="W23" s="55">
        <f t="shared" ref="W23:W31" si="3">Q23/(Q23+R23)</f>
        <v>0.55789473684210522</v>
      </c>
      <c r="X23" s="54">
        <f t="shared" ref="X23:X31" si="4">Q23/(Q23+T23)</f>
        <v>0.89830508474576276</v>
      </c>
      <c r="Y23">
        <f>SUM(Q23:T23)</f>
        <v>1034</v>
      </c>
    </row>
    <row r="24" spans="3:25" x14ac:dyDescent="0.3">
      <c r="C24">
        <f t="shared" si="0"/>
        <v>31</v>
      </c>
      <c r="D24">
        <f t="shared" si="1"/>
        <v>69</v>
      </c>
      <c r="E24" s="58">
        <v>0.7</v>
      </c>
      <c r="F24" s="56" t="s">
        <v>103</v>
      </c>
      <c r="G24" s="56">
        <v>31</v>
      </c>
      <c r="H24" s="56">
        <v>29</v>
      </c>
      <c r="I24" s="56">
        <v>2</v>
      </c>
      <c r="J24" s="56">
        <f>121+90+8</f>
        <v>219</v>
      </c>
      <c r="K24" s="56">
        <v>2</v>
      </c>
      <c r="L24" s="55">
        <v>9.0497737556561094E-3</v>
      </c>
      <c r="M24" s="55">
        <v>6.4516129032258063E-2</v>
      </c>
      <c r="N24" s="55">
        <v>0.93548387096774188</v>
      </c>
      <c r="O24" s="55">
        <v>0.93548387096774188</v>
      </c>
      <c r="P24" s="57">
        <v>69</v>
      </c>
      <c r="Q24" s="56">
        <v>45</v>
      </c>
      <c r="R24" s="56">
        <v>24</v>
      </c>
      <c r="S24" s="56">
        <v>933</v>
      </c>
      <c r="T24" s="56">
        <v>13</v>
      </c>
      <c r="U24" s="55">
        <f t="shared" si="2"/>
        <v>2.5078369905956112E-2</v>
      </c>
      <c r="V24" s="83">
        <f t="shared" ref="V23:V31" si="5">T24/(T24+Q24)</f>
        <v>0.22413793103448276</v>
      </c>
      <c r="W24" s="55">
        <f t="shared" si="3"/>
        <v>0.65217391304347827</v>
      </c>
      <c r="X24" s="54">
        <f t="shared" si="4"/>
        <v>0.77586206896551724</v>
      </c>
    </row>
    <row r="25" spans="3:25" x14ac:dyDescent="0.3">
      <c r="C25">
        <f t="shared" si="0"/>
        <v>23</v>
      </c>
      <c r="D25">
        <f t="shared" si="1"/>
        <v>39</v>
      </c>
      <c r="E25" s="58">
        <v>0.8</v>
      </c>
      <c r="F25" s="56" t="s">
        <v>103</v>
      </c>
      <c r="G25" s="56">
        <v>23</v>
      </c>
      <c r="H25" s="56">
        <v>23</v>
      </c>
      <c r="I25" s="56">
        <v>0</v>
      </c>
      <c r="J25" s="56">
        <f>121+90+8</f>
        <v>219</v>
      </c>
      <c r="K25" s="56">
        <v>8</v>
      </c>
      <c r="L25" s="55">
        <v>0</v>
      </c>
      <c r="M25" s="55">
        <v>0.25806451612903225</v>
      </c>
      <c r="N25" s="55">
        <v>1</v>
      </c>
      <c r="O25" s="55">
        <v>0.74193548387096775</v>
      </c>
      <c r="P25" s="57">
        <v>39</v>
      </c>
      <c r="Q25" s="56">
        <v>35</v>
      </c>
      <c r="R25" s="56">
        <v>4</v>
      </c>
      <c r="S25" s="56">
        <v>933</v>
      </c>
      <c r="T25" s="56">
        <v>23</v>
      </c>
      <c r="U25" s="55">
        <f t="shared" si="2"/>
        <v>4.2689434364994666E-3</v>
      </c>
      <c r="V25" s="83">
        <f t="shared" si="5"/>
        <v>0.39655172413793105</v>
      </c>
      <c r="W25" s="55">
        <f t="shared" si="3"/>
        <v>0.89743589743589747</v>
      </c>
      <c r="X25" s="54">
        <f t="shared" si="4"/>
        <v>0.60344827586206895</v>
      </c>
    </row>
    <row r="26" spans="3:25" x14ac:dyDescent="0.3">
      <c r="C26">
        <f t="shared" si="0"/>
        <v>10</v>
      </c>
      <c r="D26">
        <f t="shared" si="1"/>
        <v>12</v>
      </c>
      <c r="E26" s="58">
        <v>0.9</v>
      </c>
      <c r="F26" s="56" t="s">
        <v>103</v>
      </c>
      <c r="G26" s="56">
        <v>10</v>
      </c>
      <c r="H26" s="56">
        <v>10</v>
      </c>
      <c r="I26" s="56">
        <v>0</v>
      </c>
      <c r="J26" s="56">
        <f>121+90+8</f>
        <v>219</v>
      </c>
      <c r="K26" s="56">
        <v>21</v>
      </c>
      <c r="L26" s="55">
        <v>0</v>
      </c>
      <c r="M26" s="55">
        <v>0.67741935483870963</v>
      </c>
      <c r="N26" s="55">
        <v>1</v>
      </c>
      <c r="O26" s="55">
        <v>0.32258064516129031</v>
      </c>
      <c r="P26" s="57">
        <v>12</v>
      </c>
      <c r="Q26" s="56">
        <v>12</v>
      </c>
      <c r="R26" s="56">
        <v>0</v>
      </c>
      <c r="S26" s="56">
        <v>933</v>
      </c>
      <c r="T26" s="56">
        <v>46</v>
      </c>
      <c r="U26" s="55">
        <f t="shared" si="2"/>
        <v>0</v>
      </c>
      <c r="V26" s="83">
        <f t="shared" si="5"/>
        <v>0.7931034482758621</v>
      </c>
      <c r="W26" s="55">
        <f t="shared" si="3"/>
        <v>1</v>
      </c>
      <c r="X26" s="54">
        <f t="shared" si="4"/>
        <v>0.20689655172413793</v>
      </c>
    </row>
    <row r="27" spans="3:25" x14ac:dyDescent="0.3">
      <c r="C27">
        <f t="shared" si="0"/>
        <v>31</v>
      </c>
      <c r="D27">
        <f t="shared" si="1"/>
        <v>57</v>
      </c>
      <c r="E27" s="63">
        <v>0.5</v>
      </c>
      <c r="F27" s="61" t="s">
        <v>102</v>
      </c>
      <c r="G27" s="61">
        <v>31</v>
      </c>
      <c r="H27" s="61">
        <v>31</v>
      </c>
      <c r="I27" s="61">
        <v>0</v>
      </c>
      <c r="J27" s="86">
        <f>121+90+8</f>
        <v>219</v>
      </c>
      <c r="K27" s="61">
        <v>0</v>
      </c>
      <c r="L27" s="60">
        <v>0</v>
      </c>
      <c r="M27" s="60">
        <v>0</v>
      </c>
      <c r="N27" s="60">
        <v>1</v>
      </c>
      <c r="O27" s="60">
        <v>1</v>
      </c>
      <c r="P27" s="62">
        <v>57</v>
      </c>
      <c r="Q27" s="61">
        <v>57</v>
      </c>
      <c r="R27" s="61">
        <v>0</v>
      </c>
      <c r="S27" s="61">
        <v>931</v>
      </c>
      <c r="T27" s="61">
        <v>0</v>
      </c>
      <c r="U27" s="60">
        <f t="shared" si="2"/>
        <v>0</v>
      </c>
      <c r="V27" s="47">
        <f t="shared" si="5"/>
        <v>0</v>
      </c>
      <c r="W27" s="60">
        <f t="shared" si="3"/>
        <v>1</v>
      </c>
      <c r="X27" s="59">
        <f t="shared" si="4"/>
        <v>1</v>
      </c>
    </row>
    <row r="28" spans="3:25" x14ac:dyDescent="0.3">
      <c r="C28">
        <f t="shared" si="0"/>
        <v>30</v>
      </c>
      <c r="D28">
        <f t="shared" si="1"/>
        <v>52</v>
      </c>
      <c r="E28" s="63">
        <v>0.6</v>
      </c>
      <c r="F28" s="61" t="s">
        <v>102</v>
      </c>
      <c r="G28" s="61">
        <v>30</v>
      </c>
      <c r="H28" s="61">
        <v>30</v>
      </c>
      <c r="I28" s="61">
        <v>0</v>
      </c>
      <c r="J28" s="61">
        <f>121+90+8</f>
        <v>219</v>
      </c>
      <c r="K28" s="61">
        <v>1</v>
      </c>
      <c r="L28" s="60">
        <v>0</v>
      </c>
      <c r="M28" s="60">
        <v>3.2258064516129031E-2</v>
      </c>
      <c r="N28" s="60">
        <v>1</v>
      </c>
      <c r="O28" s="60">
        <v>0.967741935483871</v>
      </c>
      <c r="P28" s="62">
        <v>52</v>
      </c>
      <c r="Q28" s="61">
        <v>52</v>
      </c>
      <c r="R28" s="61">
        <v>0</v>
      </c>
      <c r="S28" s="61">
        <v>931</v>
      </c>
      <c r="T28" s="61">
        <v>5</v>
      </c>
      <c r="U28" s="60">
        <f t="shared" si="2"/>
        <v>0</v>
      </c>
      <c r="V28" s="47">
        <f t="shared" si="5"/>
        <v>8.771929824561403E-2</v>
      </c>
      <c r="W28" s="60">
        <f t="shared" si="3"/>
        <v>1</v>
      </c>
      <c r="X28" s="59">
        <f t="shared" si="4"/>
        <v>0.91228070175438591</v>
      </c>
    </row>
    <row r="29" spans="3:25" x14ac:dyDescent="0.3">
      <c r="C29">
        <f t="shared" si="0"/>
        <v>29</v>
      </c>
      <c r="D29">
        <f t="shared" si="1"/>
        <v>45</v>
      </c>
      <c r="E29" s="63">
        <v>0.7</v>
      </c>
      <c r="F29" s="61" t="s">
        <v>102</v>
      </c>
      <c r="G29" s="61">
        <v>29</v>
      </c>
      <c r="H29" s="61">
        <v>29</v>
      </c>
      <c r="I29" s="61">
        <v>0</v>
      </c>
      <c r="J29" s="61">
        <f>121+90+8</f>
        <v>219</v>
      </c>
      <c r="K29" s="61">
        <v>2</v>
      </c>
      <c r="L29" s="60">
        <v>0</v>
      </c>
      <c r="M29" s="60">
        <v>6.4516129032258063E-2</v>
      </c>
      <c r="N29" s="60">
        <v>1</v>
      </c>
      <c r="O29" s="60">
        <v>0.93548387096774188</v>
      </c>
      <c r="P29" s="62">
        <v>45</v>
      </c>
      <c r="Q29" s="61">
        <v>45</v>
      </c>
      <c r="R29" s="61">
        <v>0</v>
      </c>
      <c r="S29" s="61">
        <v>931</v>
      </c>
      <c r="T29" s="61">
        <v>12</v>
      </c>
      <c r="U29" s="60">
        <f t="shared" si="2"/>
        <v>0</v>
      </c>
      <c r="V29" s="47">
        <f t="shared" si="5"/>
        <v>0.21052631578947367</v>
      </c>
      <c r="W29" s="60">
        <f t="shared" si="3"/>
        <v>1</v>
      </c>
      <c r="X29" s="59">
        <f t="shared" si="4"/>
        <v>0.78947368421052633</v>
      </c>
    </row>
    <row r="30" spans="3:25" x14ac:dyDescent="0.3">
      <c r="C30">
        <f t="shared" si="0"/>
        <v>23</v>
      </c>
      <c r="D30">
        <f t="shared" si="1"/>
        <v>35</v>
      </c>
      <c r="E30" s="63">
        <v>0.8</v>
      </c>
      <c r="F30" s="61" t="s">
        <v>102</v>
      </c>
      <c r="G30" s="61">
        <v>23</v>
      </c>
      <c r="H30" s="61">
        <v>23</v>
      </c>
      <c r="I30" s="61">
        <v>0</v>
      </c>
      <c r="J30" s="61">
        <f>121+90+8</f>
        <v>219</v>
      </c>
      <c r="K30" s="61">
        <v>8</v>
      </c>
      <c r="L30" s="60">
        <v>0</v>
      </c>
      <c r="M30" s="60">
        <v>0.25806451612903225</v>
      </c>
      <c r="N30" s="60">
        <v>1</v>
      </c>
      <c r="O30" s="60">
        <v>0.74193548387096775</v>
      </c>
      <c r="P30" s="62">
        <v>35</v>
      </c>
      <c r="Q30" s="61">
        <v>35</v>
      </c>
      <c r="R30" s="61">
        <v>0</v>
      </c>
      <c r="S30" s="61">
        <v>931</v>
      </c>
      <c r="T30" s="61">
        <v>22</v>
      </c>
      <c r="U30" s="60">
        <f t="shared" si="2"/>
        <v>0</v>
      </c>
      <c r="V30" s="47">
        <f t="shared" si="5"/>
        <v>0.38596491228070173</v>
      </c>
      <c r="W30" s="60">
        <f t="shared" si="3"/>
        <v>1</v>
      </c>
      <c r="X30" s="59">
        <f t="shared" si="4"/>
        <v>0.61403508771929827</v>
      </c>
    </row>
    <row r="31" spans="3:25" x14ac:dyDescent="0.3">
      <c r="C31">
        <f t="shared" si="0"/>
        <v>10</v>
      </c>
      <c r="D31">
        <f t="shared" si="1"/>
        <v>12</v>
      </c>
      <c r="E31" s="53">
        <v>0.9</v>
      </c>
      <c r="F31" s="50" t="s">
        <v>102</v>
      </c>
      <c r="G31" s="50">
        <v>10</v>
      </c>
      <c r="H31" s="50">
        <v>10</v>
      </c>
      <c r="I31" s="50">
        <v>0</v>
      </c>
      <c r="J31" s="50">
        <f>121+90+8</f>
        <v>219</v>
      </c>
      <c r="K31" s="50">
        <v>21</v>
      </c>
      <c r="L31" s="52">
        <v>0</v>
      </c>
      <c r="M31" s="52">
        <v>0.67741935483870963</v>
      </c>
      <c r="N31" s="52">
        <v>1</v>
      </c>
      <c r="O31" s="52">
        <v>0.32258064516129031</v>
      </c>
      <c r="P31" s="51">
        <v>12</v>
      </c>
      <c r="Q31" s="50">
        <v>12</v>
      </c>
      <c r="R31" s="50">
        <v>0</v>
      </c>
      <c r="S31" s="50">
        <v>931</v>
      </c>
      <c r="T31" s="50">
        <v>45</v>
      </c>
      <c r="U31" s="52">
        <f t="shared" si="2"/>
        <v>0</v>
      </c>
      <c r="V31" s="52">
        <f t="shared" si="5"/>
        <v>0.78947368421052633</v>
      </c>
      <c r="W31" s="52">
        <f t="shared" si="3"/>
        <v>1</v>
      </c>
      <c r="X31" s="49">
        <f t="shared" si="4"/>
        <v>0.21052631578947367</v>
      </c>
    </row>
  </sheetData>
  <sortState xmlns:xlrd2="http://schemas.microsoft.com/office/spreadsheetml/2017/richdata2" ref="E22:X31">
    <sortCondition ref="F22:F31"/>
  </sortState>
  <mergeCells count="10">
    <mergeCell ref="E20:E21"/>
    <mergeCell ref="F20:O20"/>
    <mergeCell ref="P20:X20"/>
    <mergeCell ref="F2:I2"/>
    <mergeCell ref="J2:M2"/>
    <mergeCell ref="E3:E4"/>
    <mergeCell ref="C4:C8"/>
    <mergeCell ref="D5:D9"/>
    <mergeCell ref="P3:X3"/>
    <mergeCell ref="F3:O3"/>
  </mergeCells>
  <pageMargins left="0.7" right="0.7" top="0.75" bottom="0.75" header="0.3" footer="0.3"/>
  <pageSetup orientation="portrait" r:id="rId1"/>
  <ignoredErrors>
    <ignoredError sqref="R1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9E15-DF2D-4846-B32F-433BEDF9167E}">
  <dimension ref="A1:Y21"/>
  <sheetViews>
    <sheetView workbookViewId="0">
      <selection activeCell="L12" sqref="L12:M21"/>
    </sheetView>
  </sheetViews>
  <sheetFormatPr defaultRowHeight="14.4" x14ac:dyDescent="0.3"/>
  <cols>
    <col min="4" max="4" width="12.109375" customWidth="1"/>
    <col min="9" max="10" width="13.77734375" style="39" customWidth="1"/>
    <col min="11" max="14" width="8.88671875" style="39"/>
    <col min="15" max="15" width="8.88671875" style="41"/>
    <col min="23" max="23" width="8.88671875" style="1"/>
    <col min="25" max="25" width="8.88671875" style="1"/>
  </cols>
  <sheetData>
    <row r="1" spans="1:24" x14ac:dyDescent="0.3">
      <c r="A1" t="s">
        <v>91</v>
      </c>
      <c r="B1" t="s">
        <v>87</v>
      </c>
      <c r="C1" t="s">
        <v>79</v>
      </c>
      <c r="D1" t="s">
        <v>80</v>
      </c>
      <c r="E1" t="s">
        <v>81</v>
      </c>
      <c r="F1" t="s">
        <v>82</v>
      </c>
      <c r="G1" t="s">
        <v>100</v>
      </c>
      <c r="H1" t="s">
        <v>83</v>
      </c>
      <c r="I1" s="39" t="s">
        <v>84</v>
      </c>
      <c r="J1" s="39" t="s">
        <v>99</v>
      </c>
      <c r="K1" s="39" t="s">
        <v>85</v>
      </c>
      <c r="L1" s="39" t="s">
        <v>10</v>
      </c>
      <c r="M1" s="39" t="s">
        <v>11</v>
      </c>
      <c r="N1" s="39" t="s">
        <v>13</v>
      </c>
      <c r="O1" s="41" t="s">
        <v>86</v>
      </c>
      <c r="V1" s="1"/>
      <c r="X1" s="1"/>
    </row>
    <row r="2" spans="1:24" x14ac:dyDescent="0.3">
      <c r="A2" t="s">
        <v>89</v>
      </c>
      <c r="B2" t="s">
        <v>92</v>
      </c>
      <c r="C2">
        <v>0.5</v>
      </c>
      <c r="D2">
        <f>SCOPE!B11+HICEAS17!B11+HICEAS23!B11</f>
        <v>133</v>
      </c>
      <c r="E2">
        <f>SCOPE!C11+HICEAS17!C11+HICEAS23!C11</f>
        <v>57</v>
      </c>
      <c r="F2">
        <f>SCOPE!D11+HICEAS17!D11+HICEAS23!D11</f>
        <v>74</v>
      </c>
      <c r="G2">
        <f>108+486+337</f>
        <v>931</v>
      </c>
      <c r="H2">
        <f>SCOPE!E11+HICEAS17!E11+HICEAS23!E11</f>
        <v>0</v>
      </c>
      <c r="I2" s="40">
        <f>F2/(F2+G2)</f>
        <v>7.3631840796019907E-2</v>
      </c>
      <c r="J2" s="40"/>
      <c r="K2" s="39">
        <f>H2/(E2+H2)</f>
        <v>0</v>
      </c>
      <c r="L2" s="39">
        <f>E2/(E2+F2)</f>
        <v>0.4351145038167939</v>
      </c>
      <c r="M2" s="39">
        <f>E2/(E2+H2)</f>
        <v>1</v>
      </c>
      <c r="N2" s="39">
        <f>108/(108+F2)</f>
        <v>0.59340659340659341</v>
      </c>
      <c r="O2" s="41">
        <f>(M2+N2)/2</f>
        <v>0.79670329670329676</v>
      </c>
      <c r="T2" s="2"/>
      <c r="U2" s="1"/>
      <c r="V2" s="1"/>
      <c r="X2" s="1"/>
    </row>
    <row r="3" spans="1:24" x14ac:dyDescent="0.3">
      <c r="A3" t="s">
        <v>90</v>
      </c>
      <c r="B3" t="s">
        <v>92</v>
      </c>
      <c r="C3">
        <v>0.5</v>
      </c>
      <c r="D3">
        <v>57</v>
      </c>
      <c r="E3">
        <v>57</v>
      </c>
      <c r="F3">
        <v>0</v>
      </c>
      <c r="G3">
        <f>108+486+337</f>
        <v>931</v>
      </c>
      <c r="H3">
        <v>0</v>
      </c>
      <c r="I3" s="40">
        <f>F3/(F3+G3)</f>
        <v>0</v>
      </c>
      <c r="K3" s="39">
        <v>0</v>
      </c>
      <c r="L3" s="39">
        <v>1</v>
      </c>
      <c r="M3" s="39">
        <v>1</v>
      </c>
      <c r="N3" s="39">
        <v>1</v>
      </c>
      <c r="O3" s="41">
        <v>1</v>
      </c>
      <c r="T3" s="2"/>
      <c r="U3" s="1"/>
      <c r="V3" s="1"/>
      <c r="X3" s="1"/>
    </row>
    <row r="4" spans="1:24" x14ac:dyDescent="0.3">
      <c r="A4" t="s">
        <v>89</v>
      </c>
      <c r="B4" t="s">
        <v>92</v>
      </c>
      <c r="C4">
        <v>0.6</v>
      </c>
      <c r="D4">
        <f>SCOPE!B12+HICEAS17!B12+HICEAS23!B12</f>
        <v>95</v>
      </c>
      <c r="E4">
        <f>SCOPE!C12+HICEAS17!C12+HICEAS23!C12</f>
        <v>52</v>
      </c>
      <c r="F4">
        <f>SCOPE!D12+HICEAS17!D12+HICEAS23!D12</f>
        <v>41</v>
      </c>
      <c r="G4">
        <f>108+486+337</f>
        <v>931</v>
      </c>
      <c r="H4">
        <f>SCOPE!E12+HICEAS17!E12+HICEAS23!E12</f>
        <v>5</v>
      </c>
      <c r="I4" s="40">
        <f>F4/(F4+G4)</f>
        <v>4.2181069958847739E-2</v>
      </c>
      <c r="J4" s="40"/>
      <c r="K4" s="39">
        <f>H4/(E4+H4)</f>
        <v>8.771929824561403E-2</v>
      </c>
      <c r="L4" s="39">
        <f>E4/(E4+F4)</f>
        <v>0.55913978494623651</v>
      </c>
      <c r="M4" s="39">
        <f>E4/(E4+H4)</f>
        <v>0.91228070175438591</v>
      </c>
      <c r="N4" s="39">
        <f>108/(108+F4)</f>
        <v>0.72483221476510062</v>
      </c>
      <c r="O4" s="41">
        <f>(M4+N4)/2</f>
        <v>0.81855645825974332</v>
      </c>
      <c r="T4" s="2"/>
      <c r="U4" s="1"/>
      <c r="V4" s="1"/>
      <c r="X4" s="1"/>
    </row>
    <row r="5" spans="1:24" x14ac:dyDescent="0.3">
      <c r="A5" t="s">
        <v>90</v>
      </c>
      <c r="B5" t="s">
        <v>92</v>
      </c>
      <c r="C5">
        <v>0.6</v>
      </c>
      <c r="D5">
        <v>52</v>
      </c>
      <c r="E5">
        <v>52</v>
      </c>
      <c r="F5">
        <v>0</v>
      </c>
      <c r="G5">
        <f>108+486+337</f>
        <v>931</v>
      </c>
      <c r="H5">
        <v>5</v>
      </c>
      <c r="I5" s="40">
        <f>F5/(F5+G5)</f>
        <v>0</v>
      </c>
      <c r="K5" s="39">
        <v>8.771929824561403E-2</v>
      </c>
      <c r="L5" s="39">
        <v>1</v>
      </c>
      <c r="M5" s="39">
        <v>0.91228070175438591</v>
      </c>
      <c r="N5" s="39">
        <v>1</v>
      </c>
      <c r="O5" s="41">
        <v>0.95614035087719296</v>
      </c>
      <c r="T5" s="2"/>
      <c r="U5" s="1"/>
      <c r="V5" s="1"/>
      <c r="X5" s="1"/>
    </row>
    <row r="6" spans="1:24" x14ac:dyDescent="0.3">
      <c r="A6" t="s">
        <v>89</v>
      </c>
      <c r="B6" t="s">
        <v>92</v>
      </c>
      <c r="C6">
        <v>0.7</v>
      </c>
      <c r="D6">
        <f>SCOPE!B13+HICEAS17!B13+HICEAS23!B13</f>
        <v>69</v>
      </c>
      <c r="E6">
        <f>SCOPE!C13+HICEAS17!C13+HICEAS23!C13</f>
        <v>45</v>
      </c>
      <c r="F6">
        <f>SCOPE!D13+HICEAS17!D13+HICEAS23!D13</f>
        <v>22</v>
      </c>
      <c r="G6">
        <f>108+486+337</f>
        <v>931</v>
      </c>
      <c r="H6">
        <f>SCOPE!E13+HICEAS17!E13+HICEAS23!E13</f>
        <v>12</v>
      </c>
      <c r="I6" s="40">
        <f>F6/(F6+G6)</f>
        <v>2.3084994753410283E-2</v>
      </c>
      <c r="J6" s="40"/>
      <c r="K6" s="39">
        <f>H6/(E6+H6)</f>
        <v>0.21052631578947367</v>
      </c>
      <c r="L6" s="39">
        <f>E6/(E6+F6)</f>
        <v>0.67164179104477617</v>
      </c>
      <c r="M6" s="39">
        <f>E6/(E6+H6)</f>
        <v>0.78947368421052633</v>
      </c>
      <c r="N6" s="39">
        <f>108/(108+F6)</f>
        <v>0.83076923076923082</v>
      </c>
      <c r="O6" s="41">
        <f>(M6+N6)/2</f>
        <v>0.81012145748987852</v>
      </c>
      <c r="T6" s="2"/>
      <c r="U6" s="1"/>
      <c r="V6" s="1"/>
      <c r="X6" s="1"/>
    </row>
    <row r="7" spans="1:24" x14ac:dyDescent="0.3">
      <c r="A7" t="s">
        <v>90</v>
      </c>
      <c r="B7" t="s">
        <v>92</v>
      </c>
      <c r="C7">
        <v>0.7</v>
      </c>
      <c r="D7">
        <v>45</v>
      </c>
      <c r="E7">
        <v>45</v>
      </c>
      <c r="F7">
        <v>0</v>
      </c>
      <c r="G7">
        <f>108+486+337</f>
        <v>931</v>
      </c>
      <c r="H7">
        <v>12</v>
      </c>
      <c r="I7" s="40">
        <f>F7/(F7+G7)</f>
        <v>0</v>
      </c>
      <c r="K7" s="39">
        <v>0.21052631578947367</v>
      </c>
      <c r="L7" s="39">
        <v>1</v>
      </c>
      <c r="M7" s="39">
        <v>0.78947368421052633</v>
      </c>
      <c r="N7" s="39">
        <v>1</v>
      </c>
      <c r="O7" s="41">
        <v>0.89473684210526316</v>
      </c>
      <c r="T7" s="2"/>
      <c r="U7" s="1"/>
      <c r="V7" s="1"/>
      <c r="X7" s="1"/>
    </row>
    <row r="8" spans="1:24" x14ac:dyDescent="0.3">
      <c r="A8" t="s">
        <v>89</v>
      </c>
      <c r="B8" t="s">
        <v>92</v>
      </c>
      <c r="C8">
        <v>0.8</v>
      </c>
      <c r="D8">
        <f>SCOPE!B14+HICEAS17!B14+HICEAS23!B14</f>
        <v>39</v>
      </c>
      <c r="E8">
        <f>SCOPE!C14+HICEAS17!C14+HICEAS23!C14</f>
        <v>35</v>
      </c>
      <c r="F8">
        <f>SCOPE!D14+HICEAS17!D14+HICEAS23!D14</f>
        <v>4</v>
      </c>
      <c r="G8">
        <f>108+486+337</f>
        <v>931</v>
      </c>
      <c r="H8">
        <f>SCOPE!E14+HICEAS17!E14+HICEAS23!E14</f>
        <v>22</v>
      </c>
      <c r="I8" s="40">
        <f>F8/(F8+G8)</f>
        <v>4.2780748663101605E-3</v>
      </c>
      <c r="J8" s="40"/>
      <c r="K8" s="39">
        <f>H8/(E8+H8)</f>
        <v>0.38596491228070173</v>
      </c>
      <c r="L8" s="39">
        <f>E8/(E8+F8)</f>
        <v>0.89743589743589747</v>
      </c>
      <c r="M8" s="39">
        <f>E8/(E8+H8)</f>
        <v>0.61403508771929827</v>
      </c>
      <c r="N8" s="39">
        <f>108/(108+F8)</f>
        <v>0.9642857142857143</v>
      </c>
      <c r="O8" s="41">
        <f>(M8+N8)/2</f>
        <v>0.78916040100250628</v>
      </c>
      <c r="T8" s="2"/>
      <c r="U8" s="1"/>
      <c r="V8" s="1"/>
      <c r="X8" s="1"/>
    </row>
    <row r="9" spans="1:24" x14ac:dyDescent="0.3">
      <c r="A9" t="s">
        <v>90</v>
      </c>
      <c r="B9" t="s">
        <v>92</v>
      </c>
      <c r="C9">
        <v>0.8</v>
      </c>
      <c r="D9">
        <v>35</v>
      </c>
      <c r="E9">
        <v>35</v>
      </c>
      <c r="F9">
        <v>0</v>
      </c>
      <c r="G9">
        <f>108+486+337</f>
        <v>931</v>
      </c>
      <c r="H9">
        <v>22</v>
      </c>
      <c r="I9" s="40">
        <f>F9/(F9+G9)</f>
        <v>0</v>
      </c>
      <c r="K9" s="39">
        <v>0.38596491228070173</v>
      </c>
      <c r="L9" s="39">
        <v>1</v>
      </c>
      <c r="M9" s="39">
        <v>0.61403508771929827</v>
      </c>
      <c r="N9" s="39">
        <v>1</v>
      </c>
      <c r="O9" s="41">
        <v>0.80701754385964919</v>
      </c>
      <c r="T9" s="2"/>
      <c r="U9" s="1"/>
      <c r="V9" s="1"/>
      <c r="X9" s="1"/>
    </row>
    <row r="10" spans="1:24" x14ac:dyDescent="0.3">
      <c r="A10" t="s">
        <v>89</v>
      </c>
      <c r="B10" t="s">
        <v>92</v>
      </c>
      <c r="C10">
        <v>0.9</v>
      </c>
      <c r="D10">
        <f>SCOPE!B15+HICEAS17!B15+HICEAS23!B15</f>
        <v>12</v>
      </c>
      <c r="E10">
        <f>SCOPE!C15+HICEAS17!C15+HICEAS23!C15</f>
        <v>12</v>
      </c>
      <c r="F10">
        <f>SCOPE!D15+HICEAS17!D15+HICEAS23!D15</f>
        <v>0</v>
      </c>
      <c r="G10">
        <f>108+486+337</f>
        <v>931</v>
      </c>
      <c r="H10">
        <f>SCOPE!E15+HICEAS17!E15+HICEAS23!E15</f>
        <v>45</v>
      </c>
      <c r="I10" s="40">
        <f>F10/(F10+G10)</f>
        <v>0</v>
      </c>
      <c r="J10" s="40"/>
      <c r="K10" s="39">
        <f>H10/(E10+H10)</f>
        <v>0.78947368421052633</v>
      </c>
      <c r="L10" s="39">
        <f>E10/(E10+F10)</f>
        <v>1</v>
      </c>
      <c r="M10" s="39">
        <f>E10/(E10+H10)</f>
        <v>0.21052631578947367</v>
      </c>
      <c r="N10" s="39">
        <f>108/(108+F10)</f>
        <v>1</v>
      </c>
      <c r="O10" s="41">
        <f>(M10+N10)/2</f>
        <v>0.60526315789473684</v>
      </c>
      <c r="T10" s="2"/>
      <c r="U10" s="1"/>
      <c r="V10" s="1"/>
      <c r="X10" s="1"/>
    </row>
    <row r="11" spans="1:24" x14ac:dyDescent="0.3">
      <c r="A11" t="s">
        <v>90</v>
      </c>
      <c r="B11" t="s">
        <v>92</v>
      </c>
      <c r="C11">
        <v>0.9</v>
      </c>
      <c r="D11">
        <v>12</v>
      </c>
      <c r="E11">
        <v>12</v>
      </c>
      <c r="F11">
        <v>0</v>
      </c>
      <c r="G11">
        <f>108+486+337</f>
        <v>931</v>
      </c>
      <c r="H11">
        <v>45</v>
      </c>
      <c r="I11" s="40">
        <f>F11/(F11+G11)</f>
        <v>0</v>
      </c>
      <c r="K11" s="39">
        <v>0.78947368421052633</v>
      </c>
      <c r="L11" s="39">
        <v>1</v>
      </c>
      <c r="M11" s="39">
        <v>0.21052631578947367</v>
      </c>
      <c r="N11" s="39">
        <v>1</v>
      </c>
      <c r="O11" s="41">
        <v>0.60526315789473684</v>
      </c>
      <c r="T11" s="2"/>
      <c r="U11" s="1"/>
      <c r="V11" s="1"/>
      <c r="X11" s="1"/>
    </row>
    <row r="12" spans="1:24" x14ac:dyDescent="0.3">
      <c r="A12" t="s">
        <v>89</v>
      </c>
      <c r="B12" t="s">
        <v>88</v>
      </c>
      <c r="C12">
        <v>0.5</v>
      </c>
      <c r="D12">
        <f>SCOPE!B3+HICEAS17!B3+HICEAS23!B3</f>
        <v>40</v>
      </c>
      <c r="E12">
        <f>SCOPE!C3+HICEAS17!C3+HICEAS23!C3</f>
        <v>31</v>
      </c>
      <c r="F12">
        <f>SCOPE!D3+HICEAS17!D3+HICEAS23!D3</f>
        <v>9</v>
      </c>
      <c r="H12">
        <f>SCOPE!E3+HICEAS17!E3+HICEAS23!E3</f>
        <v>0</v>
      </c>
      <c r="I12" s="44">
        <f>$F12/($F12+108+486+337)</f>
        <v>9.5744680851063829E-3</v>
      </c>
      <c r="J12" s="40">
        <f>$F12/($F12+Table!J5)</f>
        <v>3.9473684210526314E-2</v>
      </c>
      <c r="K12" s="39">
        <f>H12/(E12+H12)</f>
        <v>0</v>
      </c>
      <c r="L12" s="39">
        <f>E12/(E12+F12)</f>
        <v>0.77500000000000002</v>
      </c>
      <c r="M12" s="39">
        <f>E12/(E12+H12)</f>
        <v>1</v>
      </c>
      <c r="N12" s="39">
        <f>108/(108+F12)</f>
        <v>0.92307692307692313</v>
      </c>
      <c r="O12" s="41">
        <f>(M12+N12)/2</f>
        <v>0.96153846153846156</v>
      </c>
    </row>
    <row r="13" spans="1:24" x14ac:dyDescent="0.3">
      <c r="A13" t="s">
        <v>90</v>
      </c>
      <c r="B13" t="s">
        <v>88</v>
      </c>
      <c r="C13">
        <v>0.5</v>
      </c>
      <c r="D13">
        <v>31</v>
      </c>
      <c r="E13">
        <v>31</v>
      </c>
      <c r="F13">
        <v>0</v>
      </c>
      <c r="H13">
        <v>0</v>
      </c>
      <c r="I13" s="45">
        <v>0</v>
      </c>
      <c r="J13" s="40">
        <f>$F13/($F13+Table!J6)</f>
        <v>0</v>
      </c>
      <c r="K13" s="39">
        <v>0</v>
      </c>
      <c r="L13" s="39">
        <v>1</v>
      </c>
      <c r="M13" s="39">
        <v>1</v>
      </c>
      <c r="N13" s="39">
        <v>1</v>
      </c>
      <c r="O13" s="41">
        <v>1</v>
      </c>
    </row>
    <row r="14" spans="1:24" x14ac:dyDescent="0.3">
      <c r="A14" t="s">
        <v>89</v>
      </c>
      <c r="B14" t="s">
        <v>88</v>
      </c>
      <c r="C14">
        <v>0.6</v>
      </c>
      <c r="D14">
        <f>SCOPE!B4+HICEAS17!B4+HICEAS23!B4</f>
        <v>32</v>
      </c>
      <c r="E14">
        <f>SCOPE!C4+HICEAS17!C4+HICEAS23!C4</f>
        <v>30</v>
      </c>
      <c r="F14">
        <f>SCOPE!D4+HICEAS17!D4+HICEAS23!D4</f>
        <v>2</v>
      </c>
      <c r="H14">
        <f>SCOPE!E4+HICEAS17!E4+HICEAS23!E4</f>
        <v>1</v>
      </c>
      <c r="I14" s="44">
        <f>F14/(F14+108+486+337)</f>
        <v>2.1436227224008574E-3</v>
      </c>
      <c r="J14" s="40">
        <f>$F14/($F14+Table!J7)</f>
        <v>9.0497737556561094E-3</v>
      </c>
      <c r="K14" s="39">
        <f>H14/(E14+H14)</f>
        <v>3.2258064516129031E-2</v>
      </c>
      <c r="L14" s="39">
        <f>E14/(E14+F14)</f>
        <v>0.9375</v>
      </c>
      <c r="M14" s="39">
        <f>E14/(E14+H14)</f>
        <v>0.967741935483871</v>
      </c>
      <c r="N14" s="39">
        <f>108/(108+F14)</f>
        <v>0.98181818181818181</v>
      </c>
      <c r="O14" s="41">
        <f>(M14+N14)/2</f>
        <v>0.97478005865102646</v>
      </c>
    </row>
    <row r="15" spans="1:24" x14ac:dyDescent="0.3">
      <c r="A15" t="s">
        <v>90</v>
      </c>
      <c r="B15" t="s">
        <v>88</v>
      </c>
      <c r="C15">
        <v>0.6</v>
      </c>
      <c r="D15">
        <v>30</v>
      </c>
      <c r="E15">
        <v>30</v>
      </c>
      <c r="F15">
        <v>0</v>
      </c>
      <c r="H15">
        <v>1</v>
      </c>
      <c r="I15" s="45">
        <v>0</v>
      </c>
      <c r="J15" s="40">
        <f>$F15/($F15+Table!J8)</f>
        <v>0</v>
      </c>
      <c r="K15" s="39">
        <v>3.2258064516129031E-2</v>
      </c>
      <c r="L15" s="39">
        <v>1</v>
      </c>
      <c r="M15" s="39">
        <v>0.967741935483871</v>
      </c>
      <c r="N15" s="39">
        <v>1</v>
      </c>
      <c r="O15" s="41">
        <v>0.9838709677419355</v>
      </c>
    </row>
    <row r="16" spans="1:24" x14ac:dyDescent="0.3">
      <c r="A16" t="s">
        <v>89</v>
      </c>
      <c r="B16" t="s">
        <v>88</v>
      </c>
      <c r="C16">
        <v>0.7</v>
      </c>
      <c r="D16">
        <f>SCOPE!B5+HICEAS17!B5+HICEAS23!B5</f>
        <v>31</v>
      </c>
      <c r="E16">
        <f>SCOPE!C5+HICEAS17!C5+HICEAS23!C5</f>
        <v>29</v>
      </c>
      <c r="F16">
        <f>SCOPE!D5+HICEAS17!D5+HICEAS23!D5</f>
        <v>2</v>
      </c>
      <c r="H16">
        <f>SCOPE!E5+HICEAS17!E5+HICEAS23!E5</f>
        <v>2</v>
      </c>
      <c r="I16" s="44">
        <f>F16/(F16+108+486+337)</f>
        <v>2.1436227224008574E-3</v>
      </c>
      <c r="J16" s="40">
        <f>$F16/($F16+Table!J9)</f>
        <v>9.0497737556561094E-3</v>
      </c>
      <c r="K16" s="39">
        <f>H16/(E16+H16)</f>
        <v>6.4516129032258063E-2</v>
      </c>
      <c r="L16" s="39">
        <f>E16/(E16+F16)</f>
        <v>0.93548387096774188</v>
      </c>
      <c r="M16" s="39">
        <f>E16/(E16+H16)</f>
        <v>0.93548387096774188</v>
      </c>
      <c r="N16" s="39">
        <f>108/(108+F16)</f>
        <v>0.98181818181818181</v>
      </c>
      <c r="O16" s="41">
        <f>(M16+N16)/2</f>
        <v>0.95865102639296185</v>
      </c>
    </row>
    <row r="17" spans="1:15" x14ac:dyDescent="0.3">
      <c r="A17" t="s">
        <v>90</v>
      </c>
      <c r="B17" t="s">
        <v>88</v>
      </c>
      <c r="C17">
        <v>0.7</v>
      </c>
      <c r="D17">
        <v>29</v>
      </c>
      <c r="E17">
        <v>29</v>
      </c>
      <c r="F17">
        <v>0</v>
      </c>
      <c r="H17">
        <v>2</v>
      </c>
      <c r="I17" s="45">
        <v>0</v>
      </c>
      <c r="J17" s="40">
        <f>$F17/($F17+Table!J10)</f>
        <v>0</v>
      </c>
      <c r="K17" s="39">
        <v>6.4516129032258063E-2</v>
      </c>
      <c r="L17" s="39">
        <v>1</v>
      </c>
      <c r="M17" s="39">
        <v>0.93548387096774188</v>
      </c>
      <c r="N17" s="39">
        <v>1</v>
      </c>
      <c r="O17" s="41">
        <v>0.967741935483871</v>
      </c>
    </row>
    <row r="18" spans="1:15" x14ac:dyDescent="0.3">
      <c r="A18" t="s">
        <v>89</v>
      </c>
      <c r="B18" t="s">
        <v>88</v>
      </c>
      <c r="C18">
        <v>0.8</v>
      </c>
      <c r="D18">
        <f>SCOPE!B6+HICEAS17!B6+HICEAS23!B6</f>
        <v>23</v>
      </c>
      <c r="E18">
        <f>SCOPE!C6+HICEAS17!C6+HICEAS23!C6</f>
        <v>23</v>
      </c>
      <c r="F18">
        <f>SCOPE!D6+HICEAS17!D6+HICEAS23!D6</f>
        <v>0</v>
      </c>
      <c r="H18">
        <f>SCOPE!E6+HICEAS17!E6+HICEAS23!E6</f>
        <v>8</v>
      </c>
      <c r="I18" s="44">
        <f>F18/(F18+108+486+337)</f>
        <v>0</v>
      </c>
      <c r="J18" s="40">
        <f>$F18/($F18+Table!J11)</f>
        <v>0</v>
      </c>
      <c r="K18" s="39">
        <f>H18/(E18+H18)</f>
        <v>0.25806451612903225</v>
      </c>
      <c r="L18" s="39">
        <f>E18/(E18+F18)</f>
        <v>1</v>
      </c>
      <c r="M18" s="39">
        <f>E18/(E18+H18)</f>
        <v>0.74193548387096775</v>
      </c>
      <c r="N18" s="39">
        <f>108/(108+F18)</f>
        <v>1</v>
      </c>
      <c r="O18" s="41">
        <f>(M18+N18)/2</f>
        <v>0.87096774193548387</v>
      </c>
    </row>
    <row r="19" spans="1:15" x14ac:dyDescent="0.3">
      <c r="A19" t="s">
        <v>90</v>
      </c>
      <c r="B19" t="s">
        <v>88</v>
      </c>
      <c r="C19">
        <v>0.8</v>
      </c>
      <c r="D19">
        <v>23</v>
      </c>
      <c r="E19">
        <v>23</v>
      </c>
      <c r="F19">
        <v>0</v>
      </c>
      <c r="H19">
        <v>8</v>
      </c>
      <c r="I19" s="45">
        <v>0</v>
      </c>
      <c r="J19" s="40">
        <f>$F19/($F19+Table!J12)</f>
        <v>0</v>
      </c>
      <c r="K19" s="39">
        <v>0.25806451612903225</v>
      </c>
      <c r="L19" s="39">
        <v>1</v>
      </c>
      <c r="M19" s="39">
        <v>0.74193548387096775</v>
      </c>
      <c r="N19" s="39">
        <v>1</v>
      </c>
      <c r="O19" s="41">
        <v>0.87096774193548387</v>
      </c>
    </row>
    <row r="20" spans="1:15" x14ac:dyDescent="0.3">
      <c r="A20" t="s">
        <v>89</v>
      </c>
      <c r="B20" t="s">
        <v>88</v>
      </c>
      <c r="C20">
        <v>0.9</v>
      </c>
      <c r="D20">
        <f>SCOPE!B7+HICEAS17!B7+HICEAS23!B7</f>
        <v>10</v>
      </c>
      <c r="E20">
        <f>SCOPE!C7+HICEAS17!C7+HICEAS23!C7</f>
        <v>10</v>
      </c>
      <c r="F20">
        <f>SCOPE!D7+HICEAS17!D7+HICEAS23!D7</f>
        <v>0</v>
      </c>
      <c r="H20">
        <f>SCOPE!E7+HICEAS17!E7+HICEAS23!E7</f>
        <v>21</v>
      </c>
      <c r="I20" s="44">
        <f>F20/(F20+108+486+337)</f>
        <v>0</v>
      </c>
      <c r="J20" s="40">
        <f>$F20/($F20+Table!J13)</f>
        <v>0</v>
      </c>
      <c r="K20" s="39">
        <f>H20/(E20+H20)</f>
        <v>0.67741935483870963</v>
      </c>
      <c r="L20" s="39">
        <f>E20/(E20+F20)</f>
        <v>1</v>
      </c>
      <c r="M20" s="39">
        <f>E20/(E20+H20)</f>
        <v>0.32258064516129031</v>
      </c>
      <c r="N20" s="39">
        <f>108/(108+F20)</f>
        <v>1</v>
      </c>
      <c r="O20" s="41">
        <f>(M20+N20)/2</f>
        <v>0.66129032258064513</v>
      </c>
    </row>
    <row r="21" spans="1:15" x14ac:dyDescent="0.3">
      <c r="A21" t="s">
        <v>90</v>
      </c>
      <c r="B21" t="s">
        <v>88</v>
      </c>
      <c r="C21">
        <v>0.9</v>
      </c>
      <c r="D21">
        <v>10</v>
      </c>
      <c r="E21">
        <v>10</v>
      </c>
      <c r="F21">
        <v>0</v>
      </c>
      <c r="H21">
        <v>21</v>
      </c>
      <c r="I21" s="45">
        <v>0</v>
      </c>
      <c r="J21" s="40">
        <f>$F21/($F21+Table!J14)</f>
        <v>0</v>
      </c>
      <c r="K21" s="39">
        <v>0.67741935483870963</v>
      </c>
      <c r="L21" s="39">
        <v>1</v>
      </c>
      <c r="M21" s="39">
        <v>0.32258064516129031</v>
      </c>
      <c r="N21" s="39">
        <v>1</v>
      </c>
      <c r="O21" s="41">
        <v>0.66129032258064513</v>
      </c>
    </row>
  </sheetData>
  <autoFilter ref="A1:O21" xr:uid="{DF559E15-DF2D-4846-B32F-433BEDF9167E}">
    <sortState xmlns:xlrd2="http://schemas.microsoft.com/office/spreadsheetml/2017/richdata2" ref="A2:O11">
      <sortCondition ref="C1:C21"/>
    </sortState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55BC-8054-48AB-A4C6-0EA07F38CD1D}">
  <dimension ref="A1:W15"/>
  <sheetViews>
    <sheetView workbookViewId="0">
      <selection activeCell="B11" sqref="B11"/>
    </sheetView>
  </sheetViews>
  <sheetFormatPr defaultRowHeight="14.4" x14ac:dyDescent="0.3"/>
  <cols>
    <col min="2" max="2" width="12.109375" customWidth="1"/>
    <col min="7" max="7" width="13.77734375" customWidth="1"/>
    <col min="8" max="11" width="8.88671875" style="1"/>
    <col min="12" max="12" width="8.88671875" style="7"/>
    <col min="21" max="21" width="8.88671875" style="1"/>
    <col min="23" max="23" width="8.88671875" style="1"/>
  </cols>
  <sheetData>
    <row r="1" spans="1:23" x14ac:dyDescent="0.3">
      <c r="A1" s="115" t="s">
        <v>7</v>
      </c>
      <c r="M1" t="s">
        <v>6</v>
      </c>
    </row>
    <row r="2" spans="1:23" x14ac:dyDescent="0.3">
      <c r="B2" t="s">
        <v>0</v>
      </c>
      <c r="C2" t="s">
        <v>9</v>
      </c>
      <c r="D2" t="s">
        <v>2</v>
      </c>
      <c r="E2" t="s">
        <v>101</v>
      </c>
      <c r="F2" t="s">
        <v>3</v>
      </c>
      <c r="G2" t="s">
        <v>4</v>
      </c>
      <c r="H2" s="1" t="s">
        <v>5</v>
      </c>
      <c r="I2" s="1" t="s">
        <v>10</v>
      </c>
      <c r="J2" s="1" t="s">
        <v>11</v>
      </c>
      <c r="K2" s="1" t="s">
        <v>13</v>
      </c>
      <c r="L2" s="7" t="s">
        <v>12</v>
      </c>
      <c r="M2" t="s">
        <v>0</v>
      </c>
      <c r="N2" t="s">
        <v>1</v>
      </c>
      <c r="O2" t="s">
        <v>2</v>
      </c>
      <c r="P2" t="s">
        <v>101</v>
      </c>
      <c r="Q2" t="s">
        <v>3</v>
      </c>
      <c r="R2" t="s">
        <v>4</v>
      </c>
      <c r="S2" t="s">
        <v>5</v>
      </c>
      <c r="T2" s="1" t="s">
        <v>10</v>
      </c>
      <c r="U2" s="1" t="s">
        <v>11</v>
      </c>
      <c r="V2" s="1" t="s">
        <v>13</v>
      </c>
      <c r="W2" s="1" t="s">
        <v>12</v>
      </c>
    </row>
    <row r="3" spans="1:23" x14ac:dyDescent="0.3">
      <c r="A3">
        <v>0.5</v>
      </c>
      <c r="B3">
        <f>[1]SCOPE!B3+[1]HICEAS17!B3+[1]HICEAS23!B3</f>
        <v>40</v>
      </c>
      <c r="C3">
        <f>[1]SCOPE!C3+[1]HICEAS17!C3+[1]HICEAS23!C3</f>
        <v>31</v>
      </c>
      <c r="D3">
        <f>[1]SCOPE!D3+[1]HICEAS17!D3+[1]HICEAS23!D3</f>
        <v>9</v>
      </c>
      <c r="E3">
        <v>219</v>
      </c>
      <c r="F3">
        <f>[1]SCOPE!E3+[1]HICEAS17!E3+[1]HICEAS23!E3</f>
        <v>0</v>
      </c>
      <c r="G3" s="3">
        <f>D3/(D3+E3)</f>
        <v>3.9473684210526314E-2</v>
      </c>
      <c r="H3" s="1">
        <f>F3/(C3+F3)</f>
        <v>0</v>
      </c>
      <c r="I3" s="1">
        <f>C3/(C3+D3)</f>
        <v>0.77500000000000002</v>
      </c>
      <c r="J3" s="1">
        <f>C3/(C3+F3)</f>
        <v>1</v>
      </c>
      <c r="K3" s="1">
        <f>108/(108+D3)</f>
        <v>0.92307692307692313</v>
      </c>
      <c r="L3" s="7">
        <f>(J3+K3)/2</f>
        <v>0.96153846153846156</v>
      </c>
      <c r="M3">
        <f>[1]SCOPE!L3+[1]HICEAS17!L3+[1]HICEAS23!L3</f>
        <v>31</v>
      </c>
      <c r="N3">
        <f>[1]SCOPE!M3+[1]HICEAS17!M3+[1]HICEAS23!M3</f>
        <v>31</v>
      </c>
      <c r="O3">
        <f>[1]SCOPE!N3+[1]HICEAS17!N3+[1]HICEAS23!N3</f>
        <v>0</v>
      </c>
      <c r="P3">
        <v>219</v>
      </c>
      <c r="Q3">
        <f>[1]SCOPE!O3+[1]HICEAS17!O3+[1]HICEAS23!O3</f>
        <v>0</v>
      </c>
      <c r="R3" s="2">
        <f>O3/(O3+P3)</f>
        <v>0</v>
      </c>
      <c r="S3" s="1">
        <f>Q3/(N3+Q3)</f>
        <v>0</v>
      </c>
      <c r="T3" s="1">
        <f>N3/(N3+O3)</f>
        <v>1</v>
      </c>
      <c r="U3" s="1">
        <f>N3/(N3+Q3)</f>
        <v>1</v>
      </c>
      <c r="V3" s="1">
        <f>108/(108+O3)</f>
        <v>1</v>
      </c>
      <c r="W3" s="1">
        <f>(U3+V3)/2</f>
        <v>1</v>
      </c>
    </row>
    <row r="4" spans="1:23" x14ac:dyDescent="0.3">
      <c r="A4">
        <v>0.6</v>
      </c>
      <c r="B4">
        <f>[1]SCOPE!B4+[1]HICEAS17!B4+[1]HICEAS23!B4</f>
        <v>32</v>
      </c>
      <c r="C4">
        <f>[1]SCOPE!C4+[1]HICEAS17!C4+[1]HICEAS23!C4</f>
        <v>30</v>
      </c>
      <c r="D4">
        <f>[1]SCOPE!D4+[1]HICEAS17!D4+[1]HICEAS23!D4</f>
        <v>2</v>
      </c>
      <c r="E4">
        <v>219</v>
      </c>
      <c r="F4">
        <f>[1]SCOPE!E4+[1]HICEAS17!E4+[1]HICEAS23!E4</f>
        <v>1</v>
      </c>
      <c r="G4" s="3">
        <f>D4/(D4+E4)</f>
        <v>9.0497737556561094E-3</v>
      </c>
      <c r="H4" s="1">
        <f t="shared" ref="H4:H7" si="0">F4/(C4+F4)</f>
        <v>3.2258064516129031E-2</v>
      </c>
      <c r="I4" s="1">
        <f t="shared" ref="I4:I7" si="1">C4/(C4+D4)</f>
        <v>0.9375</v>
      </c>
      <c r="J4" s="1">
        <f t="shared" ref="J4:J7" si="2">C4/(C4+F4)</f>
        <v>0.967741935483871</v>
      </c>
      <c r="K4" s="1">
        <f t="shared" ref="K4:K7" si="3">108/(108+D4)</f>
        <v>0.98181818181818181</v>
      </c>
      <c r="L4" s="7">
        <f t="shared" ref="L4:L7" si="4">(J4+K4)/2</f>
        <v>0.97478005865102646</v>
      </c>
      <c r="M4">
        <f>[1]SCOPE!L4+[1]HICEAS17!L4+[1]HICEAS23!L4</f>
        <v>30</v>
      </c>
      <c r="N4">
        <f>[1]SCOPE!M4+[1]HICEAS17!M4+[1]HICEAS23!M4</f>
        <v>30</v>
      </c>
      <c r="O4">
        <f>[1]SCOPE!N4+[1]HICEAS17!N4+[1]HICEAS23!N4</f>
        <v>0</v>
      </c>
      <c r="P4">
        <v>219</v>
      </c>
      <c r="Q4">
        <f>[1]SCOPE!O4+[1]HICEAS17!O4+[1]HICEAS23!O4</f>
        <v>1</v>
      </c>
      <c r="R4" s="2">
        <f t="shared" ref="R4:R7" si="5">O4/(O4+P4)</f>
        <v>0</v>
      </c>
      <c r="S4" s="1">
        <f t="shared" ref="S4:S7" si="6">Q4/(N4+Q4)</f>
        <v>3.2258064516129031E-2</v>
      </c>
      <c r="T4" s="1">
        <f t="shared" ref="T4:T7" si="7">N4/(N4+O4)</f>
        <v>1</v>
      </c>
      <c r="U4" s="1">
        <f t="shared" ref="U4:U7" si="8">N4/(N4+Q4)</f>
        <v>0.967741935483871</v>
      </c>
      <c r="V4" s="1">
        <f t="shared" ref="V4:V7" si="9">108/(108+O4)</f>
        <v>1</v>
      </c>
      <c r="W4" s="1">
        <f t="shared" ref="W4:W7" si="10">(U4+V4)/2</f>
        <v>0.9838709677419355</v>
      </c>
    </row>
    <row r="5" spans="1:23" x14ac:dyDescent="0.3">
      <c r="A5">
        <v>0.7</v>
      </c>
      <c r="B5">
        <f>[1]SCOPE!B5+[1]HICEAS17!B5+[1]HICEAS23!B5</f>
        <v>31</v>
      </c>
      <c r="C5">
        <f>[1]SCOPE!C5+[1]HICEAS17!C5+[1]HICEAS23!C5</f>
        <v>29</v>
      </c>
      <c r="D5">
        <f>[1]SCOPE!D5+[1]HICEAS17!D5+[1]HICEAS23!D5</f>
        <v>2</v>
      </c>
      <c r="E5">
        <v>219</v>
      </c>
      <c r="F5">
        <f>[1]SCOPE!E5+[1]HICEAS17!E5+[1]HICEAS23!E5</f>
        <v>2</v>
      </c>
      <c r="G5" s="3">
        <f t="shared" ref="G4:G7" si="11">D5/(D5+E5)</f>
        <v>9.0497737556561094E-3</v>
      </c>
      <c r="H5" s="1">
        <f t="shared" si="0"/>
        <v>6.4516129032258063E-2</v>
      </c>
      <c r="I5" s="1">
        <f t="shared" si="1"/>
        <v>0.93548387096774188</v>
      </c>
      <c r="J5" s="1">
        <f t="shared" si="2"/>
        <v>0.93548387096774188</v>
      </c>
      <c r="K5" s="1">
        <f t="shared" si="3"/>
        <v>0.98181818181818181</v>
      </c>
      <c r="L5" s="7">
        <f t="shared" si="4"/>
        <v>0.95865102639296185</v>
      </c>
      <c r="M5">
        <f>[1]SCOPE!L5+[1]HICEAS17!L5+[1]HICEAS23!L5</f>
        <v>29</v>
      </c>
      <c r="N5">
        <f>[1]SCOPE!M5+[1]HICEAS17!M5+[1]HICEAS23!M5</f>
        <v>29</v>
      </c>
      <c r="O5">
        <f>[1]SCOPE!N5+[1]HICEAS17!N5+[1]HICEAS23!N5</f>
        <v>0</v>
      </c>
      <c r="P5">
        <v>219</v>
      </c>
      <c r="Q5">
        <f>[1]SCOPE!O5+[1]HICEAS17!O5+[1]HICEAS23!O5</f>
        <v>2</v>
      </c>
      <c r="R5" s="2">
        <f t="shared" si="5"/>
        <v>0</v>
      </c>
      <c r="S5" s="1">
        <f t="shared" si="6"/>
        <v>6.4516129032258063E-2</v>
      </c>
      <c r="T5" s="1">
        <f t="shared" si="7"/>
        <v>1</v>
      </c>
      <c r="U5" s="1">
        <f t="shared" si="8"/>
        <v>0.93548387096774188</v>
      </c>
      <c r="V5" s="1">
        <f t="shared" si="9"/>
        <v>1</v>
      </c>
      <c r="W5" s="1">
        <f t="shared" si="10"/>
        <v>0.967741935483871</v>
      </c>
    </row>
    <row r="6" spans="1:23" x14ac:dyDescent="0.3">
      <c r="A6">
        <v>0.8</v>
      </c>
      <c r="B6">
        <f>[1]SCOPE!B6+[1]HICEAS17!B6+[1]HICEAS23!B6</f>
        <v>23</v>
      </c>
      <c r="C6">
        <f>[1]SCOPE!C6+[1]HICEAS17!C6+[1]HICEAS23!C6</f>
        <v>23</v>
      </c>
      <c r="D6">
        <f>[1]SCOPE!D6+[1]HICEAS17!D6+[1]HICEAS23!D6</f>
        <v>0</v>
      </c>
      <c r="E6">
        <v>219</v>
      </c>
      <c r="F6">
        <f>[1]SCOPE!E6+[1]HICEAS17!E6+[1]HICEAS23!E6</f>
        <v>8</v>
      </c>
      <c r="G6" s="3">
        <f t="shared" si="11"/>
        <v>0</v>
      </c>
      <c r="H6" s="1">
        <f t="shared" si="0"/>
        <v>0.25806451612903225</v>
      </c>
      <c r="I6" s="1">
        <f t="shared" si="1"/>
        <v>1</v>
      </c>
      <c r="J6" s="1">
        <f t="shared" si="2"/>
        <v>0.74193548387096775</v>
      </c>
      <c r="K6" s="1">
        <f t="shared" si="3"/>
        <v>1</v>
      </c>
      <c r="L6" s="7">
        <f t="shared" si="4"/>
        <v>0.87096774193548387</v>
      </c>
      <c r="M6">
        <f>[1]SCOPE!L6+[1]HICEAS17!L6+[1]HICEAS23!L6</f>
        <v>23</v>
      </c>
      <c r="N6">
        <f>[1]SCOPE!M6+[1]HICEAS17!M6+[1]HICEAS23!M6</f>
        <v>23</v>
      </c>
      <c r="O6">
        <f>[1]SCOPE!N6+[1]HICEAS17!N6+[1]HICEAS23!N6</f>
        <v>0</v>
      </c>
      <c r="P6">
        <v>219</v>
      </c>
      <c r="Q6">
        <f>[1]SCOPE!O6+[1]HICEAS17!O6+[1]HICEAS23!O6</f>
        <v>8</v>
      </c>
      <c r="R6" s="2">
        <f t="shared" si="5"/>
        <v>0</v>
      </c>
      <c r="S6" s="1">
        <f t="shared" si="6"/>
        <v>0.25806451612903225</v>
      </c>
      <c r="T6" s="1">
        <f t="shared" si="7"/>
        <v>1</v>
      </c>
      <c r="U6" s="1">
        <f t="shared" si="8"/>
        <v>0.74193548387096775</v>
      </c>
      <c r="V6" s="1">
        <f t="shared" si="9"/>
        <v>1</v>
      </c>
      <c r="W6" s="1">
        <f t="shared" si="10"/>
        <v>0.87096774193548387</v>
      </c>
    </row>
    <row r="7" spans="1:23" x14ac:dyDescent="0.3">
      <c r="A7">
        <v>0.9</v>
      </c>
      <c r="B7">
        <f>[1]SCOPE!B7+[1]HICEAS17!B7+[1]HICEAS23!B7</f>
        <v>10</v>
      </c>
      <c r="C7">
        <f>[1]SCOPE!C7+[1]HICEAS17!C7+[1]HICEAS23!C7</f>
        <v>10</v>
      </c>
      <c r="D7">
        <f>[1]SCOPE!D7+[1]HICEAS17!D7+[1]HICEAS23!D7</f>
        <v>0</v>
      </c>
      <c r="E7">
        <v>219</v>
      </c>
      <c r="F7">
        <f>[1]SCOPE!E7+[1]HICEAS17!E7+[1]HICEAS23!E7</f>
        <v>21</v>
      </c>
      <c r="G7" s="3">
        <f t="shared" si="11"/>
        <v>0</v>
      </c>
      <c r="H7" s="1">
        <f t="shared" si="0"/>
        <v>0.67741935483870963</v>
      </c>
      <c r="I7" s="1">
        <f t="shared" si="1"/>
        <v>1</v>
      </c>
      <c r="J7" s="1">
        <f t="shared" si="2"/>
        <v>0.32258064516129031</v>
      </c>
      <c r="K7" s="1">
        <f t="shared" si="3"/>
        <v>1</v>
      </c>
      <c r="L7" s="7">
        <f t="shared" si="4"/>
        <v>0.66129032258064513</v>
      </c>
      <c r="M7">
        <f>[1]SCOPE!L7+[1]HICEAS17!L7+[1]HICEAS23!L7</f>
        <v>10</v>
      </c>
      <c r="N7">
        <f>[1]SCOPE!M7+[1]HICEAS17!M7+[1]HICEAS23!M7</f>
        <v>10</v>
      </c>
      <c r="O7">
        <f>[1]SCOPE!N7+[1]HICEAS17!N7+[1]HICEAS23!N7</f>
        <v>0</v>
      </c>
      <c r="P7">
        <v>219</v>
      </c>
      <c r="Q7">
        <f>[1]SCOPE!O7+[1]HICEAS17!O7+[1]HICEAS23!O7</f>
        <v>21</v>
      </c>
      <c r="R7" s="2">
        <f t="shared" si="5"/>
        <v>0</v>
      </c>
      <c r="S7" s="1">
        <f t="shared" si="6"/>
        <v>0.67741935483870963</v>
      </c>
      <c r="T7" s="1">
        <f t="shared" si="7"/>
        <v>1</v>
      </c>
      <c r="U7" s="1">
        <f t="shared" si="8"/>
        <v>0.32258064516129031</v>
      </c>
      <c r="V7" s="1">
        <f t="shared" si="9"/>
        <v>1</v>
      </c>
      <c r="W7" s="1">
        <f t="shared" si="10"/>
        <v>0.66129032258064513</v>
      </c>
    </row>
    <row r="8" spans="1:23" x14ac:dyDescent="0.3">
      <c r="T8" s="1"/>
      <c r="V8" s="1"/>
    </row>
    <row r="9" spans="1:23" x14ac:dyDescent="0.3">
      <c r="A9" s="115" t="s">
        <v>98</v>
      </c>
      <c r="T9" s="1"/>
      <c r="V9" s="1"/>
    </row>
    <row r="10" spans="1:23" x14ac:dyDescent="0.3">
      <c r="B10" t="s">
        <v>0</v>
      </c>
      <c r="C10" t="s">
        <v>9</v>
      </c>
      <c r="D10" t="s">
        <v>2</v>
      </c>
      <c r="E10" t="s">
        <v>101</v>
      </c>
      <c r="F10" t="s">
        <v>3</v>
      </c>
      <c r="G10" t="s">
        <v>4</v>
      </c>
      <c r="H10" s="1" t="s">
        <v>5</v>
      </c>
      <c r="I10" s="1" t="s">
        <v>10</v>
      </c>
      <c r="J10" s="1" t="s">
        <v>11</v>
      </c>
      <c r="K10" s="1" t="s">
        <v>13</v>
      </c>
      <c r="L10" s="7" t="s">
        <v>12</v>
      </c>
      <c r="M10" t="s">
        <v>0</v>
      </c>
      <c r="N10" t="s">
        <v>1</v>
      </c>
      <c r="O10" t="s">
        <v>2</v>
      </c>
      <c r="P10" t="s">
        <v>101</v>
      </c>
      <c r="Q10" t="s">
        <v>3</v>
      </c>
      <c r="R10" t="s">
        <v>4</v>
      </c>
      <c r="S10" t="s">
        <v>5</v>
      </c>
      <c r="T10" s="1"/>
      <c r="U10" s="1" t="s">
        <v>11</v>
      </c>
      <c r="V10" s="1" t="s">
        <v>13</v>
      </c>
      <c r="W10" s="1" t="s">
        <v>12</v>
      </c>
    </row>
    <row r="11" spans="1:23" x14ac:dyDescent="0.3">
      <c r="A11">
        <v>0.5</v>
      </c>
      <c r="B11">
        <f>[1]SCOPE!B11+[1]HICEAS17!B11+[1]HICEAS23!B11</f>
        <v>133</v>
      </c>
      <c r="C11">
        <f>[1]SCOPE!C11+[1]HICEAS17!C11+[1]HICEAS23!C11</f>
        <v>57</v>
      </c>
      <c r="D11">
        <f>[1]SCOPE!D11+[1]HICEAS17!D11+[1]HICEAS23!D11</f>
        <v>74</v>
      </c>
      <c r="E11">
        <f>108+486+337</f>
        <v>931</v>
      </c>
      <c r="F11">
        <f>[1]SCOPE!E11+[1]HICEAS17!E11+[1]HICEAS23!E11</f>
        <v>0</v>
      </c>
      <c r="G11" s="3">
        <f>D11/(D11+E11)</f>
        <v>7.3631840796019907E-2</v>
      </c>
      <c r="H11" s="1">
        <f>F11/(C11+F11)</f>
        <v>0</v>
      </c>
      <c r="I11" s="1">
        <f>C11/(C11+D11)</f>
        <v>0.4351145038167939</v>
      </c>
      <c r="J11" s="1">
        <f>C11/(C11+F11)</f>
        <v>1</v>
      </c>
      <c r="K11" s="1">
        <f>108/(108+D11)</f>
        <v>0.59340659340659341</v>
      </c>
      <c r="L11" s="7">
        <f>(J11+K11)/2</f>
        <v>0.79670329670329676</v>
      </c>
      <c r="M11">
        <f>[1]SCOPE!L11+[1]HICEAS17!L11+[1]HICEAS23!L11</f>
        <v>57</v>
      </c>
      <c r="N11">
        <f>[1]SCOPE!M11+[1]HICEAS17!M11+[1]HICEAS23!M11</f>
        <v>57</v>
      </c>
      <c r="O11">
        <f>[1]SCOPE!N11+[1]HICEAS17!N11+[1]HICEAS23!N11</f>
        <v>0</v>
      </c>
      <c r="P11">
        <f>108+486+337</f>
        <v>931</v>
      </c>
      <c r="Q11">
        <f>[1]SCOPE!O11+[1]HICEAS17!O11+[1]HICEAS23!O11</f>
        <v>0</v>
      </c>
      <c r="R11" s="2">
        <f>O11/(O11+P11)</f>
        <v>0</v>
      </c>
      <c r="S11" s="1">
        <f>Q11/(N11+Q11)</f>
        <v>0</v>
      </c>
      <c r="T11" s="1">
        <f>N11/(N11+O11)</f>
        <v>1</v>
      </c>
      <c r="U11" s="1">
        <f>N11/(N11+Q11)</f>
        <v>1</v>
      </c>
      <c r="V11" s="1">
        <f>108/(108+O11)</f>
        <v>1</v>
      </c>
      <c r="W11" s="1">
        <f>(U11+V11)/2</f>
        <v>1</v>
      </c>
    </row>
    <row r="12" spans="1:23" x14ac:dyDescent="0.3">
      <c r="A12">
        <v>0.6</v>
      </c>
      <c r="B12">
        <f>[1]SCOPE!B12+[1]HICEAS17!B12+[1]HICEAS23!B12</f>
        <v>95</v>
      </c>
      <c r="C12">
        <f>[1]SCOPE!C12+[1]HICEAS17!C12+[1]HICEAS23!C12</f>
        <v>52</v>
      </c>
      <c r="D12">
        <f>[1]SCOPE!D12+[1]HICEAS17!D12+[1]HICEAS23!D12</f>
        <v>41</v>
      </c>
      <c r="E12">
        <f>108+486+337</f>
        <v>931</v>
      </c>
      <c r="F12">
        <f>[1]SCOPE!E12+[1]HICEAS17!E12+[1]HICEAS23!E12</f>
        <v>5</v>
      </c>
      <c r="G12" s="3">
        <f t="shared" ref="G12:G15" si="12">D12/(D12+E12)</f>
        <v>4.2181069958847739E-2</v>
      </c>
      <c r="H12" s="1">
        <f t="shared" ref="H12:H15" si="13">F12/(C12+F12)</f>
        <v>8.771929824561403E-2</v>
      </c>
      <c r="I12" s="1">
        <f t="shared" ref="I12:I15" si="14">C12/(C12+D12)</f>
        <v>0.55913978494623651</v>
      </c>
      <c r="J12" s="1">
        <f t="shared" ref="J12:J15" si="15">C12/(C12+F12)</f>
        <v>0.91228070175438591</v>
      </c>
      <c r="K12" s="1">
        <f t="shared" ref="K12:K15" si="16">108/(108+D12)</f>
        <v>0.72483221476510062</v>
      </c>
      <c r="L12" s="7">
        <f t="shared" ref="L12:L15" si="17">(J12+K12)/2</f>
        <v>0.81855645825974332</v>
      </c>
      <c r="M12">
        <f>[1]SCOPE!L12+[1]HICEAS17!L12+[1]HICEAS23!L12</f>
        <v>52</v>
      </c>
      <c r="N12">
        <f>[1]SCOPE!M12+[1]HICEAS17!M12+[1]HICEAS23!M12</f>
        <v>52</v>
      </c>
      <c r="O12">
        <f>[1]SCOPE!N12+[1]HICEAS17!N12+[1]HICEAS23!N12</f>
        <v>0</v>
      </c>
      <c r="P12">
        <f>108+486+337</f>
        <v>931</v>
      </c>
      <c r="Q12">
        <f>[1]SCOPE!O12+[1]HICEAS17!O12+[1]HICEAS23!O12</f>
        <v>5</v>
      </c>
      <c r="R12" s="2">
        <f t="shared" ref="R12:R15" si="18">O12/(O12+P12)</f>
        <v>0</v>
      </c>
      <c r="S12" s="1">
        <f t="shared" ref="S12:S15" si="19">Q12/(N12+Q12)</f>
        <v>8.771929824561403E-2</v>
      </c>
      <c r="T12" s="1">
        <f t="shared" ref="T12:T15" si="20">N12/(N12+O12)</f>
        <v>1</v>
      </c>
      <c r="U12" s="1">
        <f t="shared" ref="U12:U15" si="21">N12/(N12+Q12)</f>
        <v>0.91228070175438591</v>
      </c>
      <c r="V12" s="1">
        <f t="shared" ref="V12:V15" si="22">108/(108+O12)</f>
        <v>1</v>
      </c>
      <c r="W12" s="1">
        <f t="shared" ref="W12:W15" si="23">(U12+V12)/2</f>
        <v>0.95614035087719296</v>
      </c>
    </row>
    <row r="13" spans="1:23" x14ac:dyDescent="0.3">
      <c r="A13">
        <v>0.7</v>
      </c>
      <c r="B13">
        <f>[1]SCOPE!B13+[1]HICEAS17!B13+[1]HICEAS23!B13</f>
        <v>69</v>
      </c>
      <c r="C13">
        <f>[1]SCOPE!C13+[1]HICEAS17!C13+[1]HICEAS23!C13</f>
        <v>45</v>
      </c>
      <c r="D13">
        <f>[1]SCOPE!D13+[1]HICEAS17!D13+[1]HICEAS23!D13</f>
        <v>22</v>
      </c>
      <c r="E13">
        <f>108+486+337</f>
        <v>931</v>
      </c>
      <c r="F13">
        <f>[1]SCOPE!E13+[1]HICEAS17!E13+[1]HICEAS23!E13</f>
        <v>12</v>
      </c>
      <c r="G13" s="3">
        <f t="shared" si="12"/>
        <v>2.3084994753410283E-2</v>
      </c>
      <c r="H13" s="1">
        <f t="shared" si="13"/>
        <v>0.21052631578947367</v>
      </c>
      <c r="I13" s="1">
        <f t="shared" si="14"/>
        <v>0.67164179104477617</v>
      </c>
      <c r="J13" s="1">
        <f t="shared" si="15"/>
        <v>0.78947368421052633</v>
      </c>
      <c r="K13" s="1">
        <f t="shared" si="16"/>
        <v>0.83076923076923082</v>
      </c>
      <c r="L13" s="7">
        <f t="shared" si="17"/>
        <v>0.81012145748987852</v>
      </c>
      <c r="M13">
        <f>[1]SCOPE!L13+[1]HICEAS17!L13+[1]HICEAS23!L13</f>
        <v>45</v>
      </c>
      <c r="N13">
        <f>[1]SCOPE!M13+[1]HICEAS17!M13+[1]HICEAS23!M13</f>
        <v>45</v>
      </c>
      <c r="O13">
        <f>[1]SCOPE!N13+[1]HICEAS17!N13+[1]HICEAS23!N13</f>
        <v>0</v>
      </c>
      <c r="P13">
        <f>108+486+337</f>
        <v>931</v>
      </c>
      <c r="Q13">
        <f>[1]SCOPE!O13+[1]HICEAS17!O13+[1]HICEAS23!O13</f>
        <v>12</v>
      </c>
      <c r="R13" s="2">
        <f t="shared" si="18"/>
        <v>0</v>
      </c>
      <c r="S13" s="1">
        <f t="shared" si="19"/>
        <v>0.21052631578947367</v>
      </c>
      <c r="T13" s="1">
        <f t="shared" si="20"/>
        <v>1</v>
      </c>
      <c r="U13" s="1">
        <f t="shared" si="21"/>
        <v>0.78947368421052633</v>
      </c>
      <c r="V13" s="1">
        <f t="shared" si="22"/>
        <v>1</v>
      </c>
      <c r="W13" s="1">
        <f t="shared" si="23"/>
        <v>0.89473684210526316</v>
      </c>
    </row>
    <row r="14" spans="1:23" x14ac:dyDescent="0.3">
      <c r="A14">
        <v>0.8</v>
      </c>
      <c r="B14">
        <f>[1]SCOPE!B14+[1]HICEAS17!B14+[1]HICEAS23!B14</f>
        <v>39</v>
      </c>
      <c r="C14">
        <f>[1]SCOPE!C14+[1]HICEAS17!C14+[1]HICEAS23!C14</f>
        <v>35</v>
      </c>
      <c r="D14">
        <f>[1]SCOPE!D14+[1]HICEAS17!D14+[1]HICEAS23!D14</f>
        <v>4</v>
      </c>
      <c r="E14">
        <f>108+486+337</f>
        <v>931</v>
      </c>
      <c r="F14">
        <f>[1]SCOPE!E14+[1]HICEAS17!E14+[1]HICEAS23!E14</f>
        <v>22</v>
      </c>
      <c r="G14" s="3">
        <f t="shared" si="12"/>
        <v>4.2780748663101605E-3</v>
      </c>
      <c r="H14" s="1">
        <f t="shared" si="13"/>
        <v>0.38596491228070173</v>
      </c>
      <c r="I14" s="1">
        <f t="shared" si="14"/>
        <v>0.89743589743589747</v>
      </c>
      <c r="J14" s="1">
        <f t="shared" si="15"/>
        <v>0.61403508771929827</v>
      </c>
      <c r="K14" s="1">
        <f t="shared" si="16"/>
        <v>0.9642857142857143</v>
      </c>
      <c r="L14" s="7">
        <f t="shared" si="17"/>
        <v>0.78916040100250628</v>
      </c>
      <c r="M14">
        <f>[1]SCOPE!L14+[1]HICEAS17!L14+[1]HICEAS23!L14</f>
        <v>35</v>
      </c>
      <c r="N14">
        <f>[1]SCOPE!M14+[1]HICEAS17!M14+[1]HICEAS23!M14</f>
        <v>35</v>
      </c>
      <c r="O14">
        <f>[1]SCOPE!N14+[1]HICEAS17!N14+[1]HICEAS23!N14</f>
        <v>0</v>
      </c>
      <c r="P14">
        <f>108+486+337</f>
        <v>931</v>
      </c>
      <c r="Q14">
        <f>[1]SCOPE!O14+[1]HICEAS17!O14+[1]HICEAS23!O14</f>
        <v>22</v>
      </c>
      <c r="R14" s="2">
        <f t="shared" si="18"/>
        <v>0</v>
      </c>
      <c r="S14" s="1">
        <f t="shared" si="19"/>
        <v>0.38596491228070173</v>
      </c>
      <c r="T14" s="1">
        <f t="shared" si="20"/>
        <v>1</v>
      </c>
      <c r="U14" s="1">
        <f t="shared" si="21"/>
        <v>0.61403508771929827</v>
      </c>
      <c r="V14" s="1">
        <f t="shared" si="22"/>
        <v>1</v>
      </c>
      <c r="W14" s="1">
        <f t="shared" si="23"/>
        <v>0.80701754385964919</v>
      </c>
    </row>
    <row r="15" spans="1:23" x14ac:dyDescent="0.3">
      <c r="A15">
        <v>0.9</v>
      </c>
      <c r="B15">
        <f>[1]SCOPE!B15+[1]HICEAS17!B15+[1]HICEAS23!B15</f>
        <v>12</v>
      </c>
      <c r="C15">
        <f>[1]SCOPE!C15+[1]HICEAS17!C15+[1]HICEAS23!C15</f>
        <v>12</v>
      </c>
      <c r="D15">
        <f>[1]SCOPE!D15+[1]HICEAS17!D15+[1]HICEAS23!D15</f>
        <v>0</v>
      </c>
      <c r="E15">
        <f>108+486+337</f>
        <v>931</v>
      </c>
      <c r="F15">
        <f>[1]SCOPE!E15+[1]HICEAS17!E15+[1]HICEAS23!E15</f>
        <v>45</v>
      </c>
      <c r="G15" s="3">
        <f t="shared" si="12"/>
        <v>0</v>
      </c>
      <c r="H15" s="1">
        <f t="shared" si="13"/>
        <v>0.78947368421052633</v>
      </c>
      <c r="I15" s="1">
        <f t="shared" si="14"/>
        <v>1</v>
      </c>
      <c r="J15" s="1">
        <f t="shared" si="15"/>
        <v>0.21052631578947367</v>
      </c>
      <c r="K15" s="1">
        <f t="shared" si="16"/>
        <v>1</v>
      </c>
      <c r="L15" s="7">
        <f t="shared" si="17"/>
        <v>0.60526315789473684</v>
      </c>
      <c r="M15">
        <f>[1]SCOPE!L15+[1]HICEAS17!L15+[1]HICEAS23!L15</f>
        <v>12</v>
      </c>
      <c r="N15">
        <f>[1]SCOPE!M15+[1]HICEAS17!M15+[1]HICEAS23!M15</f>
        <v>12</v>
      </c>
      <c r="O15">
        <f>[1]SCOPE!N15+[1]HICEAS17!N15+[1]HICEAS23!N15</f>
        <v>0</v>
      </c>
      <c r="P15">
        <f>108+486+337</f>
        <v>931</v>
      </c>
      <c r="Q15">
        <f>[1]SCOPE!O15+[1]HICEAS17!O15+[1]HICEAS23!O15</f>
        <v>45</v>
      </c>
      <c r="R15" s="2">
        <f t="shared" si="18"/>
        <v>0</v>
      </c>
      <c r="S15" s="1">
        <f t="shared" si="19"/>
        <v>0.78947368421052633</v>
      </c>
      <c r="T15" s="1">
        <f t="shared" si="20"/>
        <v>1</v>
      </c>
      <c r="U15" s="1">
        <f t="shared" si="21"/>
        <v>0.21052631578947367</v>
      </c>
      <c r="V15" s="1">
        <f t="shared" si="22"/>
        <v>1</v>
      </c>
      <c r="W15" s="1">
        <f t="shared" si="23"/>
        <v>0.60526315789473684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2E05-AA54-474F-938B-CD44A2A29D56}">
  <dimension ref="A1:O1068"/>
  <sheetViews>
    <sheetView topLeftCell="A99" workbookViewId="0">
      <selection activeCell="C116" sqref="C116"/>
    </sheetView>
  </sheetViews>
  <sheetFormatPr defaultRowHeight="14.4" x14ac:dyDescent="0.3"/>
  <cols>
    <col min="1" max="11" width="8.88671875" style="97"/>
    <col min="12" max="12" width="14.77734375" style="97" customWidth="1"/>
    <col min="13" max="16384" width="8.88671875" style="97"/>
  </cols>
  <sheetData>
    <row r="1" spans="1:15" x14ac:dyDescent="0.3">
      <c r="A1" s="91" t="s">
        <v>14</v>
      </c>
      <c r="B1" s="91" t="s">
        <v>15</v>
      </c>
      <c r="C1" s="91" t="s">
        <v>16</v>
      </c>
      <c r="D1" s="91" t="s">
        <v>17</v>
      </c>
      <c r="E1" s="91" t="s">
        <v>18</v>
      </c>
      <c r="F1" s="91" t="s">
        <v>19</v>
      </c>
      <c r="G1" s="91" t="s">
        <v>20</v>
      </c>
      <c r="H1" s="91" t="s">
        <v>21</v>
      </c>
      <c r="I1" s="91" t="s">
        <v>22</v>
      </c>
      <c r="J1" s="91"/>
      <c r="K1" s="91" t="s">
        <v>60</v>
      </c>
    </row>
    <row r="2" spans="1:15" ht="18" x14ac:dyDescent="0.35">
      <c r="A2" s="95" t="s">
        <v>24</v>
      </c>
      <c r="B2" s="89"/>
      <c r="C2" s="11">
        <v>305</v>
      </c>
      <c r="D2" s="11">
        <v>1705416</v>
      </c>
      <c r="E2" s="11" t="s">
        <v>19</v>
      </c>
      <c r="F2" s="101">
        <v>0.99539999999999995</v>
      </c>
      <c r="G2" s="11">
        <v>4.5999999999999999E-3</v>
      </c>
      <c r="H2" s="11" t="s">
        <v>19</v>
      </c>
      <c r="I2" s="11" t="b">
        <v>1</v>
      </c>
      <c r="J2" s="89"/>
      <c r="K2" s="89" t="s">
        <v>120</v>
      </c>
    </row>
    <row r="3" spans="1:15" ht="18" x14ac:dyDescent="0.35">
      <c r="A3" s="95" t="s">
        <v>24</v>
      </c>
      <c r="B3" s="89"/>
      <c r="C3" s="11">
        <v>93</v>
      </c>
      <c r="D3" s="11">
        <v>1705109</v>
      </c>
      <c r="E3" s="11" t="s">
        <v>19</v>
      </c>
      <c r="F3" s="101">
        <v>0.98570000000000002</v>
      </c>
      <c r="G3" s="11">
        <v>1.43E-2</v>
      </c>
      <c r="H3" s="11" t="s">
        <v>19</v>
      </c>
      <c r="I3" s="11" t="b">
        <v>1</v>
      </c>
      <c r="J3" s="89"/>
      <c r="K3" s="111" t="s">
        <v>123</v>
      </c>
    </row>
    <row r="4" spans="1:15" ht="18" x14ac:dyDescent="0.35">
      <c r="A4" s="95" t="s">
        <v>24</v>
      </c>
      <c r="B4" s="88"/>
      <c r="C4" s="93">
        <v>16</v>
      </c>
      <c r="D4" s="11">
        <v>2404021</v>
      </c>
      <c r="E4" s="11" t="s">
        <v>19</v>
      </c>
      <c r="F4" s="101">
        <v>0.94550000000000001</v>
      </c>
      <c r="G4" s="11">
        <v>5.45E-2</v>
      </c>
      <c r="H4" s="11" t="s">
        <v>19</v>
      </c>
      <c r="I4" s="11" t="b">
        <v>1</v>
      </c>
      <c r="J4" s="89"/>
      <c r="K4" s="113" t="s">
        <v>124</v>
      </c>
    </row>
    <row r="5" spans="1:15" ht="18" x14ac:dyDescent="0.35">
      <c r="A5" s="95" t="s">
        <v>24</v>
      </c>
      <c r="B5" s="88"/>
      <c r="C5" s="11">
        <v>238</v>
      </c>
      <c r="D5" s="11">
        <v>2303309</v>
      </c>
      <c r="E5" s="11" t="s">
        <v>19</v>
      </c>
      <c r="F5" s="101">
        <v>0.93669999999999998</v>
      </c>
      <c r="G5" s="11">
        <v>6.3299999999999995E-2</v>
      </c>
      <c r="H5" s="11" t="s">
        <v>19</v>
      </c>
      <c r="I5" s="11" t="b">
        <v>1</v>
      </c>
      <c r="J5" s="89"/>
      <c r="K5" s="89"/>
    </row>
    <row r="6" spans="1:15" ht="18" x14ac:dyDescent="0.35">
      <c r="A6" s="95" t="s">
        <v>24</v>
      </c>
      <c r="B6" s="89"/>
      <c r="C6" s="11">
        <v>236</v>
      </c>
      <c r="D6" s="11">
        <v>1706298</v>
      </c>
      <c r="E6" s="11" t="s">
        <v>19</v>
      </c>
      <c r="F6" s="101">
        <v>0.93010000000000004</v>
      </c>
      <c r="G6" s="11">
        <v>6.9900000000000004E-2</v>
      </c>
      <c r="H6" s="11" t="s">
        <v>19</v>
      </c>
      <c r="I6" s="11" t="b">
        <v>1</v>
      </c>
      <c r="J6" s="89"/>
      <c r="K6" s="89"/>
    </row>
    <row r="7" spans="1:15" ht="18" x14ac:dyDescent="0.35">
      <c r="A7" s="87" t="s">
        <v>25</v>
      </c>
      <c r="B7" s="88"/>
      <c r="C7" s="89">
        <v>47</v>
      </c>
      <c r="D7" s="90">
        <v>2303056</v>
      </c>
      <c r="E7" s="89" t="s">
        <v>19</v>
      </c>
      <c r="F7" s="102">
        <v>0.92559999999999998</v>
      </c>
      <c r="G7" s="89">
        <v>7.4399999999999994E-2</v>
      </c>
      <c r="H7" s="89" t="s">
        <v>26</v>
      </c>
      <c r="I7" s="89" t="b">
        <v>0</v>
      </c>
      <c r="J7" s="11" t="s">
        <v>27</v>
      </c>
      <c r="K7" s="89"/>
    </row>
    <row r="8" spans="1:15" ht="18" x14ac:dyDescent="0.35">
      <c r="A8" s="95" t="s">
        <v>24</v>
      </c>
      <c r="B8" s="88"/>
      <c r="C8" s="93">
        <v>65</v>
      </c>
      <c r="D8" s="11">
        <v>2404091</v>
      </c>
      <c r="E8" s="11" t="s">
        <v>19</v>
      </c>
      <c r="F8" s="101">
        <v>0.9194</v>
      </c>
      <c r="G8" s="11">
        <v>8.0600000000000005E-2</v>
      </c>
      <c r="H8" s="11" t="s">
        <v>19</v>
      </c>
      <c r="I8" s="11" t="b">
        <v>1</v>
      </c>
      <c r="J8" s="89"/>
      <c r="K8" s="89"/>
    </row>
    <row r="9" spans="1:15" ht="18" x14ac:dyDescent="0.35">
      <c r="A9" s="87" t="s">
        <v>25</v>
      </c>
      <c r="B9" s="89"/>
      <c r="C9" s="108">
        <v>245</v>
      </c>
      <c r="D9" s="108">
        <v>1705307</v>
      </c>
      <c r="E9" s="108" t="s">
        <v>19</v>
      </c>
      <c r="F9" s="109">
        <v>0.91449999999999998</v>
      </c>
      <c r="G9" s="108">
        <v>8.5500000000000007E-2</v>
      </c>
      <c r="H9" s="108" t="s">
        <v>26</v>
      </c>
      <c r="I9" s="108" t="b">
        <v>0</v>
      </c>
      <c r="J9" s="11" t="s">
        <v>27</v>
      </c>
      <c r="K9" s="108" t="s">
        <v>122</v>
      </c>
      <c r="N9" s="114" t="s">
        <v>127</v>
      </c>
      <c r="O9" s="97" t="s">
        <v>128</v>
      </c>
    </row>
    <row r="10" spans="1:15" ht="18" x14ac:dyDescent="0.35">
      <c r="A10" s="95" t="s">
        <v>24</v>
      </c>
      <c r="B10" s="88"/>
      <c r="C10" s="11">
        <v>118</v>
      </c>
      <c r="D10" s="11">
        <v>2303155</v>
      </c>
      <c r="E10" s="11" t="s">
        <v>19</v>
      </c>
      <c r="F10" s="101">
        <v>0.91200000000000003</v>
      </c>
      <c r="G10" s="11">
        <v>8.7999999999999995E-2</v>
      </c>
      <c r="H10" s="11" t="s">
        <v>19</v>
      </c>
      <c r="I10" s="11" t="b">
        <v>1</v>
      </c>
      <c r="J10" s="89"/>
      <c r="K10" s="89"/>
    </row>
    <row r="11" spans="1:15" ht="18" x14ac:dyDescent="0.35">
      <c r="A11" s="95" t="s">
        <v>24</v>
      </c>
      <c r="B11" s="88"/>
      <c r="C11" s="93">
        <v>91</v>
      </c>
      <c r="D11" s="11">
        <v>2404128</v>
      </c>
      <c r="E11" s="11" t="s">
        <v>19</v>
      </c>
      <c r="F11" s="101">
        <v>0.90639999999999998</v>
      </c>
      <c r="G11" s="11">
        <v>9.3600000000000003E-2</v>
      </c>
      <c r="H11" s="11" t="s">
        <v>19</v>
      </c>
      <c r="I11" s="11" t="b">
        <v>1</v>
      </c>
      <c r="J11" s="89"/>
      <c r="K11" s="89"/>
    </row>
    <row r="12" spans="1:15" ht="18" x14ac:dyDescent="0.35">
      <c r="A12" s="95" t="s">
        <v>24</v>
      </c>
      <c r="B12" s="89"/>
      <c r="C12" s="11">
        <v>65</v>
      </c>
      <c r="D12" s="11">
        <v>1706081</v>
      </c>
      <c r="E12" s="11" t="s">
        <v>19</v>
      </c>
      <c r="F12" s="101">
        <v>0.90449999999999997</v>
      </c>
      <c r="G12" s="11">
        <v>9.5500000000000002E-2</v>
      </c>
      <c r="H12" s="11" t="s">
        <v>19</v>
      </c>
      <c r="I12" s="11" t="b">
        <v>1</v>
      </c>
      <c r="J12" s="89"/>
      <c r="K12" s="89"/>
    </row>
    <row r="13" spans="1:15" ht="18" x14ac:dyDescent="0.35">
      <c r="A13" s="95" t="s">
        <v>24</v>
      </c>
      <c r="B13" s="89"/>
      <c r="C13" s="11">
        <v>246</v>
      </c>
      <c r="D13" s="11">
        <v>1705308</v>
      </c>
      <c r="E13" s="11" t="s">
        <v>19</v>
      </c>
      <c r="F13" s="101">
        <v>0.90400000000000003</v>
      </c>
      <c r="G13" s="11">
        <v>9.6000000000000002E-2</v>
      </c>
      <c r="H13" s="11" t="s">
        <v>19</v>
      </c>
      <c r="I13" s="11" t="b">
        <v>1</v>
      </c>
      <c r="J13" s="89"/>
      <c r="K13" s="89"/>
    </row>
    <row r="14" spans="1:15" ht="18" x14ac:dyDescent="0.35">
      <c r="A14" s="87" t="s">
        <v>25</v>
      </c>
      <c r="B14" s="88"/>
      <c r="C14" s="89">
        <v>13</v>
      </c>
      <c r="D14" s="90">
        <v>2404018</v>
      </c>
      <c r="E14" s="89" t="s">
        <v>19</v>
      </c>
      <c r="F14" s="102">
        <v>0.88929999999999998</v>
      </c>
      <c r="G14" s="89">
        <v>0.11070000000000001</v>
      </c>
      <c r="H14" s="89" t="s">
        <v>19</v>
      </c>
      <c r="I14" s="89" t="b">
        <v>0</v>
      </c>
      <c r="J14" s="11" t="s">
        <v>27</v>
      </c>
      <c r="K14" s="89"/>
    </row>
    <row r="15" spans="1:15" ht="18" x14ac:dyDescent="0.35">
      <c r="A15" s="87" t="s">
        <v>25</v>
      </c>
      <c r="B15" s="88"/>
      <c r="C15" s="89">
        <v>278</v>
      </c>
      <c r="D15" s="90">
        <v>2303356</v>
      </c>
      <c r="E15" s="89" t="s">
        <v>19</v>
      </c>
      <c r="F15" s="102">
        <v>0.88700000000000001</v>
      </c>
      <c r="G15" s="89">
        <v>0.113</v>
      </c>
      <c r="H15" s="89" t="s">
        <v>28</v>
      </c>
      <c r="I15" s="89" t="b">
        <v>0</v>
      </c>
      <c r="J15" s="11" t="s">
        <v>27</v>
      </c>
      <c r="K15" s="89"/>
    </row>
    <row r="16" spans="1:15" ht="18" x14ac:dyDescent="0.35">
      <c r="A16" s="95" t="s">
        <v>24</v>
      </c>
      <c r="B16" s="89"/>
      <c r="C16" s="11">
        <v>92</v>
      </c>
      <c r="D16" s="11">
        <v>1705108</v>
      </c>
      <c r="E16" s="11" t="s">
        <v>19</v>
      </c>
      <c r="F16" s="101">
        <v>0.88370000000000004</v>
      </c>
      <c r="G16" s="11">
        <v>0.1163</v>
      </c>
      <c r="H16" s="11" t="s">
        <v>19</v>
      </c>
      <c r="I16" s="11" t="b">
        <v>1</v>
      </c>
      <c r="J16" s="89"/>
      <c r="K16" s="89"/>
    </row>
    <row r="17" spans="1:14" ht="18" x14ac:dyDescent="0.35">
      <c r="A17" s="87" t="s">
        <v>25</v>
      </c>
      <c r="B17" s="89"/>
      <c r="C17" s="89">
        <v>286</v>
      </c>
      <c r="D17" s="90">
        <v>1705385</v>
      </c>
      <c r="E17" s="89" t="s">
        <v>19</v>
      </c>
      <c r="F17" s="102">
        <v>0.88129999999999997</v>
      </c>
      <c r="G17" s="89">
        <v>0.1187</v>
      </c>
      <c r="H17" s="89" t="s">
        <v>31</v>
      </c>
      <c r="I17" s="89" t="b">
        <v>0</v>
      </c>
      <c r="J17" s="11" t="s">
        <v>27</v>
      </c>
      <c r="K17" s="89"/>
    </row>
    <row r="18" spans="1:14" ht="18" x14ac:dyDescent="0.35">
      <c r="A18" s="89"/>
      <c r="B18" s="96" t="s">
        <v>25</v>
      </c>
      <c r="C18" s="89">
        <v>234</v>
      </c>
      <c r="D18" s="89">
        <v>1706296</v>
      </c>
      <c r="E18" s="89" t="s">
        <v>19</v>
      </c>
      <c r="F18" s="102">
        <v>0.87380000000000002</v>
      </c>
      <c r="G18" s="89">
        <v>0.12620000000000001</v>
      </c>
      <c r="H18" s="89" t="s">
        <v>31</v>
      </c>
      <c r="I18" s="89" t="b">
        <v>0</v>
      </c>
      <c r="J18" s="15" t="s">
        <v>29</v>
      </c>
      <c r="K18" s="89" t="s">
        <v>62</v>
      </c>
    </row>
    <row r="19" spans="1:14" ht="18" x14ac:dyDescent="0.35">
      <c r="A19" s="95" t="s">
        <v>24</v>
      </c>
      <c r="B19" s="89"/>
      <c r="C19" s="11">
        <v>72</v>
      </c>
      <c r="D19" s="11">
        <v>1706091</v>
      </c>
      <c r="E19" s="11" t="s">
        <v>19</v>
      </c>
      <c r="F19" s="101">
        <v>0.87150000000000005</v>
      </c>
      <c r="G19" s="11">
        <v>0.1285</v>
      </c>
      <c r="H19" s="11" t="s">
        <v>19</v>
      </c>
      <c r="I19" s="11" t="b">
        <v>1</v>
      </c>
      <c r="J19" s="89"/>
      <c r="K19" s="89"/>
    </row>
    <row r="20" spans="1:14" ht="18" x14ac:dyDescent="0.35">
      <c r="A20" s="95" t="s">
        <v>24</v>
      </c>
      <c r="B20" s="89"/>
      <c r="C20" s="11">
        <v>4</v>
      </c>
      <c r="D20" s="11">
        <v>1706007</v>
      </c>
      <c r="E20" s="11" t="s">
        <v>19</v>
      </c>
      <c r="F20" s="101">
        <v>0.87109999999999999</v>
      </c>
      <c r="G20" s="11">
        <v>0.12889999999999999</v>
      </c>
      <c r="H20" s="11" t="s">
        <v>19</v>
      </c>
      <c r="I20" s="11" t="b">
        <v>1</v>
      </c>
      <c r="J20" s="89"/>
      <c r="K20" s="89"/>
    </row>
    <row r="21" spans="1:14" ht="18" x14ac:dyDescent="0.35">
      <c r="A21" s="95" t="s">
        <v>24</v>
      </c>
      <c r="B21" s="89"/>
      <c r="C21" s="11">
        <v>233</v>
      </c>
      <c r="D21" s="11">
        <v>1705280</v>
      </c>
      <c r="E21" s="11" t="s">
        <v>19</v>
      </c>
      <c r="F21" s="101">
        <v>0.86929999999999996</v>
      </c>
      <c r="G21" s="11">
        <v>0.13070000000000001</v>
      </c>
      <c r="H21" s="11" t="s">
        <v>19</v>
      </c>
      <c r="I21" s="11" t="b">
        <v>1</v>
      </c>
      <c r="J21" s="89"/>
      <c r="K21" s="89"/>
    </row>
    <row r="22" spans="1:14" ht="18" x14ac:dyDescent="0.35">
      <c r="A22" s="87" t="s">
        <v>25</v>
      </c>
      <c r="B22" s="89"/>
      <c r="C22" s="108">
        <v>66</v>
      </c>
      <c r="D22" s="108">
        <v>1705075</v>
      </c>
      <c r="E22" s="108" t="s">
        <v>19</v>
      </c>
      <c r="F22" s="109">
        <v>0.86860000000000004</v>
      </c>
      <c r="G22" s="108">
        <v>0.13139999999999999</v>
      </c>
      <c r="H22" s="108" t="s">
        <v>31</v>
      </c>
      <c r="I22" s="108" t="b">
        <v>0</v>
      </c>
      <c r="J22" s="11" t="s">
        <v>27</v>
      </c>
      <c r="K22" s="108" t="s">
        <v>122</v>
      </c>
      <c r="N22" s="114" t="s">
        <v>127</v>
      </c>
    </row>
    <row r="23" spans="1:14" ht="18" x14ac:dyDescent="0.35">
      <c r="A23" s="95" t="s">
        <v>24</v>
      </c>
      <c r="B23" s="88"/>
      <c r="C23" s="93">
        <v>89</v>
      </c>
      <c r="D23" s="11">
        <v>2404126</v>
      </c>
      <c r="E23" s="11" t="s">
        <v>19</v>
      </c>
      <c r="F23" s="101">
        <v>0.86570000000000003</v>
      </c>
      <c r="G23" s="11">
        <v>0.1343</v>
      </c>
      <c r="H23" s="11" t="s">
        <v>19</v>
      </c>
      <c r="I23" s="11" t="b">
        <v>1</v>
      </c>
      <c r="J23" s="89"/>
      <c r="K23" s="89"/>
    </row>
    <row r="24" spans="1:14" ht="18" x14ac:dyDescent="0.35">
      <c r="A24" s="95" t="s">
        <v>24</v>
      </c>
      <c r="B24" s="89"/>
      <c r="C24" s="11">
        <v>230</v>
      </c>
      <c r="D24" s="11">
        <v>1705276</v>
      </c>
      <c r="E24" s="11" t="s">
        <v>19</v>
      </c>
      <c r="F24" s="101">
        <v>0.8639</v>
      </c>
      <c r="G24" s="11">
        <v>0.1361</v>
      </c>
      <c r="H24" s="11" t="s">
        <v>19</v>
      </c>
      <c r="I24" s="11" t="b">
        <v>1</v>
      </c>
      <c r="J24" s="89"/>
      <c r="K24" s="89"/>
    </row>
    <row r="25" spans="1:14" ht="18" x14ac:dyDescent="0.35">
      <c r="A25" s="95" t="s">
        <v>24</v>
      </c>
      <c r="B25" s="89"/>
      <c r="C25" s="11">
        <v>232</v>
      </c>
      <c r="D25" s="11">
        <v>1705279</v>
      </c>
      <c r="E25" s="11" t="s">
        <v>19</v>
      </c>
      <c r="F25" s="101">
        <v>0.86060000000000003</v>
      </c>
      <c r="G25" s="11">
        <v>0.1394</v>
      </c>
      <c r="H25" s="11" t="s">
        <v>19</v>
      </c>
      <c r="I25" s="11" t="b">
        <v>1</v>
      </c>
      <c r="J25" s="89"/>
      <c r="K25" s="89"/>
    </row>
    <row r="26" spans="1:14" ht="18" x14ac:dyDescent="0.35">
      <c r="A26" s="88"/>
      <c r="B26" s="96" t="s">
        <v>25</v>
      </c>
      <c r="C26" s="89">
        <v>254</v>
      </c>
      <c r="D26" s="89">
        <v>2303331</v>
      </c>
      <c r="E26" s="89" t="s">
        <v>19</v>
      </c>
      <c r="F26" s="102">
        <v>0.8538</v>
      </c>
      <c r="G26" s="89">
        <v>0.1462</v>
      </c>
      <c r="H26" s="89" t="s">
        <v>26</v>
      </c>
      <c r="I26" s="89" t="b">
        <v>0</v>
      </c>
      <c r="J26" s="15" t="s">
        <v>29</v>
      </c>
      <c r="K26" s="89" t="s">
        <v>30</v>
      </c>
    </row>
    <row r="27" spans="1:14" ht="18" x14ac:dyDescent="0.35">
      <c r="A27" s="95" t="s">
        <v>24</v>
      </c>
      <c r="B27" s="89"/>
      <c r="C27" s="11">
        <v>15</v>
      </c>
      <c r="D27" s="11">
        <v>1705016</v>
      </c>
      <c r="E27" s="11" t="s">
        <v>19</v>
      </c>
      <c r="F27" s="101">
        <v>0.85360000000000003</v>
      </c>
      <c r="G27" s="11">
        <v>0.1464</v>
      </c>
      <c r="H27" s="11" t="s">
        <v>19</v>
      </c>
      <c r="I27" s="11" t="b">
        <v>1</v>
      </c>
      <c r="J27" s="89"/>
      <c r="K27" s="89"/>
    </row>
    <row r="28" spans="1:14" ht="18" x14ac:dyDescent="0.35">
      <c r="A28" s="95" t="s">
        <v>24</v>
      </c>
      <c r="B28" s="89"/>
      <c r="C28" s="11">
        <v>59</v>
      </c>
      <c r="D28" s="11">
        <v>1705067</v>
      </c>
      <c r="E28" s="11" t="s">
        <v>19</v>
      </c>
      <c r="F28" s="101">
        <v>0.85119999999999996</v>
      </c>
      <c r="G28" s="11">
        <v>0.14879999999999999</v>
      </c>
      <c r="H28" s="11" t="s">
        <v>19</v>
      </c>
      <c r="I28" s="11" t="b">
        <v>1</v>
      </c>
      <c r="J28" s="89"/>
      <c r="K28" s="89"/>
    </row>
    <row r="29" spans="1:14" ht="18" x14ac:dyDescent="0.35">
      <c r="A29" s="87" t="s">
        <v>25</v>
      </c>
      <c r="B29" s="89"/>
      <c r="C29" s="108">
        <v>175</v>
      </c>
      <c r="D29" s="108">
        <v>1705210</v>
      </c>
      <c r="E29" s="108" t="s">
        <v>19</v>
      </c>
      <c r="F29" s="109">
        <v>0.84770000000000001</v>
      </c>
      <c r="G29" s="108">
        <v>0.15229999999999999</v>
      </c>
      <c r="H29" s="108" t="s">
        <v>19</v>
      </c>
      <c r="I29" s="108" t="b">
        <v>0</v>
      </c>
      <c r="J29" s="11" t="s">
        <v>27</v>
      </c>
      <c r="K29" s="89" t="s">
        <v>96</v>
      </c>
      <c r="L29" s="108" t="s">
        <v>122</v>
      </c>
      <c r="N29" s="114" t="s">
        <v>127</v>
      </c>
    </row>
    <row r="30" spans="1:14" ht="18" x14ac:dyDescent="0.35">
      <c r="A30" s="87" t="s">
        <v>25</v>
      </c>
      <c r="B30" s="89"/>
      <c r="C30" s="89">
        <v>237</v>
      </c>
      <c r="D30" s="90">
        <v>1705292</v>
      </c>
      <c r="E30" s="89" t="s">
        <v>19</v>
      </c>
      <c r="F30" s="102">
        <v>0.84340000000000004</v>
      </c>
      <c r="G30" s="89">
        <v>0.15659999999999999</v>
      </c>
      <c r="H30" s="89" t="s">
        <v>31</v>
      </c>
      <c r="I30" s="89" t="b">
        <v>0</v>
      </c>
      <c r="J30" s="11" t="s">
        <v>27</v>
      </c>
      <c r="K30" s="89"/>
    </row>
    <row r="31" spans="1:14" ht="18" x14ac:dyDescent="0.35">
      <c r="A31" s="89"/>
      <c r="B31" s="96" t="s">
        <v>25</v>
      </c>
      <c r="C31" s="89">
        <v>225</v>
      </c>
      <c r="D31" s="89">
        <v>1706279</v>
      </c>
      <c r="E31" s="89" t="s">
        <v>19</v>
      </c>
      <c r="F31" s="102">
        <v>0.83730000000000004</v>
      </c>
      <c r="G31" s="89">
        <v>0.16270000000000001</v>
      </c>
      <c r="H31" s="89" t="s">
        <v>31</v>
      </c>
      <c r="I31" s="89" t="b">
        <v>0</v>
      </c>
      <c r="J31" s="15" t="s">
        <v>29</v>
      </c>
      <c r="K31" s="89" t="s">
        <v>63</v>
      </c>
    </row>
    <row r="32" spans="1:14" ht="18" x14ac:dyDescent="0.35">
      <c r="A32" s="95" t="s">
        <v>24</v>
      </c>
      <c r="B32" s="89"/>
      <c r="C32" s="11">
        <v>81</v>
      </c>
      <c r="D32" s="11">
        <v>1706101</v>
      </c>
      <c r="E32" s="11" t="s">
        <v>19</v>
      </c>
      <c r="F32" s="101">
        <v>0.83379999999999999</v>
      </c>
      <c r="G32" s="11">
        <v>0.16619999999999999</v>
      </c>
      <c r="H32" s="11" t="s">
        <v>19</v>
      </c>
      <c r="I32" s="11" t="b">
        <v>1</v>
      </c>
      <c r="J32" s="89"/>
      <c r="K32" s="89"/>
    </row>
    <row r="33" spans="1:14" ht="18" x14ac:dyDescent="0.35">
      <c r="A33" s="88"/>
      <c r="B33" s="96" t="s">
        <v>25</v>
      </c>
      <c r="C33" s="89">
        <v>231</v>
      </c>
      <c r="D33" s="89">
        <v>2303302</v>
      </c>
      <c r="E33" s="89" t="s">
        <v>19</v>
      </c>
      <c r="F33" s="102">
        <v>0.83240000000000003</v>
      </c>
      <c r="G33" s="89">
        <v>0.1676</v>
      </c>
      <c r="H33" s="89" t="s">
        <v>31</v>
      </c>
      <c r="I33" s="89" t="b">
        <v>0</v>
      </c>
      <c r="J33" s="15" t="s">
        <v>29</v>
      </c>
      <c r="K33" s="89" t="s">
        <v>32</v>
      </c>
    </row>
    <row r="34" spans="1:14" ht="18" x14ac:dyDescent="0.35">
      <c r="A34" s="95" t="s">
        <v>24</v>
      </c>
      <c r="B34" s="89"/>
      <c r="C34" s="11">
        <v>227</v>
      </c>
      <c r="D34" s="11">
        <v>1706281</v>
      </c>
      <c r="E34" s="11" t="s">
        <v>19</v>
      </c>
      <c r="F34" s="101">
        <v>0.83040000000000003</v>
      </c>
      <c r="G34" s="11">
        <v>0.1696</v>
      </c>
      <c r="H34" s="11" t="s">
        <v>19</v>
      </c>
      <c r="I34" s="11" t="b">
        <v>1</v>
      </c>
      <c r="J34" s="89"/>
      <c r="K34" s="89"/>
    </row>
    <row r="35" spans="1:14" ht="18" x14ac:dyDescent="0.35">
      <c r="A35" s="87" t="s">
        <v>25</v>
      </c>
      <c r="B35" s="89"/>
      <c r="C35" s="89">
        <v>216</v>
      </c>
      <c r="D35" s="90">
        <v>1706269</v>
      </c>
      <c r="E35" s="89" t="s">
        <v>19</v>
      </c>
      <c r="F35" s="102">
        <v>0.82609999999999995</v>
      </c>
      <c r="G35" s="89">
        <v>0.1739</v>
      </c>
      <c r="H35" s="89" t="s">
        <v>31</v>
      </c>
      <c r="I35" s="89" t="b">
        <v>0</v>
      </c>
      <c r="J35" s="11" t="s">
        <v>27</v>
      </c>
      <c r="K35" s="89"/>
    </row>
    <row r="36" spans="1:14" ht="18" x14ac:dyDescent="0.35">
      <c r="A36" s="95" t="s">
        <v>24</v>
      </c>
      <c r="B36" s="89"/>
      <c r="C36" s="11">
        <v>233</v>
      </c>
      <c r="D36" s="11">
        <v>1706295</v>
      </c>
      <c r="E36" s="11" t="s">
        <v>19</v>
      </c>
      <c r="F36" s="101">
        <v>0.8256</v>
      </c>
      <c r="G36" s="11">
        <v>0.1744</v>
      </c>
      <c r="H36" s="11" t="s">
        <v>19</v>
      </c>
      <c r="I36" s="11" t="b">
        <v>1</v>
      </c>
      <c r="J36" s="89"/>
      <c r="K36" s="89"/>
    </row>
    <row r="37" spans="1:14" ht="18" x14ac:dyDescent="0.35">
      <c r="A37" s="87" t="s">
        <v>25</v>
      </c>
      <c r="B37" s="89"/>
      <c r="C37" s="89">
        <v>105</v>
      </c>
      <c r="D37" s="90">
        <v>1706127</v>
      </c>
      <c r="E37" s="89" t="s">
        <v>19</v>
      </c>
      <c r="F37" s="102">
        <v>0.81720000000000004</v>
      </c>
      <c r="G37" s="89">
        <v>0.18279999999999999</v>
      </c>
      <c r="H37" s="89" t="s">
        <v>31</v>
      </c>
      <c r="I37" s="89" t="b">
        <v>0</v>
      </c>
      <c r="J37" s="11" t="s">
        <v>27</v>
      </c>
      <c r="K37" s="89"/>
    </row>
    <row r="38" spans="1:14" ht="18" x14ac:dyDescent="0.35">
      <c r="A38" s="87" t="s">
        <v>25</v>
      </c>
      <c r="B38" s="88"/>
      <c r="C38" s="89">
        <v>50</v>
      </c>
      <c r="D38" s="90">
        <v>2404070</v>
      </c>
      <c r="E38" s="89" t="s">
        <v>19</v>
      </c>
      <c r="F38" s="102">
        <v>0.81430000000000002</v>
      </c>
      <c r="G38" s="89">
        <v>0.1857</v>
      </c>
      <c r="H38" s="89" t="s">
        <v>19</v>
      </c>
      <c r="I38" s="89" t="b">
        <v>1</v>
      </c>
      <c r="J38" s="11" t="s">
        <v>27</v>
      </c>
      <c r="K38" s="89"/>
    </row>
    <row r="39" spans="1:14" ht="18" x14ac:dyDescent="0.35">
      <c r="A39" s="87" t="s">
        <v>25</v>
      </c>
      <c r="B39" s="89"/>
      <c r="C39" s="89">
        <v>183</v>
      </c>
      <c r="D39" s="90">
        <v>1706132</v>
      </c>
      <c r="E39" s="89" t="s">
        <v>19</v>
      </c>
      <c r="F39" s="102">
        <v>0.80979999999999996</v>
      </c>
      <c r="G39" s="89">
        <v>0.19020000000000001</v>
      </c>
      <c r="H39" s="89" t="s">
        <v>31</v>
      </c>
      <c r="I39" s="89" t="b">
        <v>0</v>
      </c>
      <c r="J39" s="11" t="s">
        <v>27</v>
      </c>
      <c r="K39" s="89"/>
    </row>
    <row r="40" spans="1:14" ht="18" x14ac:dyDescent="0.35">
      <c r="A40" s="95" t="s">
        <v>24</v>
      </c>
      <c r="B40" s="89"/>
      <c r="C40" s="11">
        <v>209</v>
      </c>
      <c r="D40" s="11">
        <v>1706256</v>
      </c>
      <c r="E40" s="11" t="s">
        <v>19</v>
      </c>
      <c r="F40" s="101">
        <v>0.80910000000000004</v>
      </c>
      <c r="G40" s="11">
        <v>0.19089999999999999</v>
      </c>
      <c r="H40" s="11" t="s">
        <v>19</v>
      </c>
      <c r="I40" s="11" t="b">
        <v>1</v>
      </c>
      <c r="J40" s="89"/>
      <c r="K40" s="89"/>
    </row>
    <row r="41" spans="1:14" ht="18" x14ac:dyDescent="0.35">
      <c r="A41" s="95" t="s">
        <v>24</v>
      </c>
      <c r="B41" s="88"/>
      <c r="C41" s="11">
        <v>134</v>
      </c>
      <c r="D41" s="11">
        <v>2303178</v>
      </c>
      <c r="E41" s="11" t="s">
        <v>19</v>
      </c>
      <c r="F41" s="101">
        <v>0.79830000000000001</v>
      </c>
      <c r="G41" s="11">
        <v>0.20169999999999999</v>
      </c>
      <c r="H41" s="11" t="s">
        <v>19</v>
      </c>
      <c r="I41" s="11" t="b">
        <v>1</v>
      </c>
      <c r="J41" s="89"/>
      <c r="K41" s="89"/>
    </row>
    <row r="42" spans="1:14" ht="18" x14ac:dyDescent="0.35">
      <c r="A42" s="87" t="s">
        <v>25</v>
      </c>
      <c r="B42" s="88"/>
      <c r="C42" s="89">
        <v>284</v>
      </c>
      <c r="D42" s="90">
        <v>2303362</v>
      </c>
      <c r="E42" s="89" t="s">
        <v>19</v>
      </c>
      <c r="F42" s="102">
        <v>0.79620000000000002</v>
      </c>
      <c r="G42" s="89">
        <v>0.20380000000000001</v>
      </c>
      <c r="H42" s="89" t="s">
        <v>31</v>
      </c>
      <c r="I42" s="89" t="b">
        <v>0</v>
      </c>
      <c r="J42" s="11" t="s">
        <v>27</v>
      </c>
      <c r="K42" s="89"/>
    </row>
    <row r="43" spans="1:14" ht="18" x14ac:dyDescent="0.35">
      <c r="A43" s="95" t="s">
        <v>24</v>
      </c>
      <c r="B43" s="89"/>
      <c r="C43" s="11">
        <v>265</v>
      </c>
      <c r="D43" s="11">
        <v>1706338</v>
      </c>
      <c r="E43" s="11" t="s">
        <v>19</v>
      </c>
      <c r="F43" s="101">
        <v>0.79469999999999996</v>
      </c>
      <c r="G43" s="11">
        <v>0.20530000000000001</v>
      </c>
      <c r="H43" s="11" t="s">
        <v>19</v>
      </c>
      <c r="I43" s="11" t="b">
        <v>1</v>
      </c>
      <c r="J43" s="89"/>
      <c r="K43" s="89"/>
    </row>
    <row r="44" spans="1:14" ht="18" x14ac:dyDescent="0.35">
      <c r="A44" s="88"/>
      <c r="B44" s="96" t="s">
        <v>25</v>
      </c>
      <c r="C44" s="89">
        <v>8</v>
      </c>
      <c r="D44" s="89">
        <v>2401013</v>
      </c>
      <c r="E44" s="89" t="s">
        <v>19</v>
      </c>
      <c r="F44" s="102">
        <v>0.79210000000000003</v>
      </c>
      <c r="G44" s="89">
        <v>0.2079</v>
      </c>
      <c r="H44" s="89" t="s">
        <v>31</v>
      </c>
      <c r="I44" s="89" t="b">
        <v>0</v>
      </c>
      <c r="J44" s="15" t="s">
        <v>29</v>
      </c>
      <c r="K44" s="89" t="s">
        <v>32</v>
      </c>
    </row>
    <row r="45" spans="1:14" ht="18" x14ac:dyDescent="0.35">
      <c r="A45" s="95" t="s">
        <v>24</v>
      </c>
      <c r="B45" s="89"/>
      <c r="C45" s="11">
        <v>211</v>
      </c>
      <c r="D45" s="11">
        <v>1706258</v>
      </c>
      <c r="E45" s="11" t="s">
        <v>19</v>
      </c>
      <c r="F45" s="101">
        <v>0.79110000000000003</v>
      </c>
      <c r="G45" s="11">
        <v>0.2089</v>
      </c>
      <c r="H45" s="11" t="s">
        <v>19</v>
      </c>
      <c r="I45" s="116" t="b">
        <v>1</v>
      </c>
      <c r="J45" s="89"/>
      <c r="K45" s="89"/>
    </row>
    <row r="46" spans="1:14" ht="18" x14ac:dyDescent="0.35">
      <c r="A46" s="87" t="s">
        <v>25</v>
      </c>
      <c r="C46" s="117">
        <v>258</v>
      </c>
      <c r="D46" s="117">
        <v>1705323</v>
      </c>
      <c r="E46" s="117" t="s">
        <v>19</v>
      </c>
      <c r="F46" s="118">
        <v>0.7742</v>
      </c>
      <c r="G46" s="117">
        <v>0.2258</v>
      </c>
      <c r="H46" s="117" t="s">
        <v>31</v>
      </c>
      <c r="I46" s="117" t="b">
        <v>0</v>
      </c>
      <c r="J46" s="11" t="s">
        <v>27</v>
      </c>
      <c r="K46" s="112" t="s">
        <v>131</v>
      </c>
      <c r="N46" s="114" t="s">
        <v>127</v>
      </c>
    </row>
    <row r="47" spans="1:14" ht="18" x14ac:dyDescent="0.35">
      <c r="A47" s="88"/>
      <c r="B47" s="96" t="s">
        <v>25</v>
      </c>
      <c r="C47" s="89">
        <v>255</v>
      </c>
      <c r="D47" s="89">
        <v>2303332</v>
      </c>
      <c r="E47" s="89" t="s">
        <v>19</v>
      </c>
      <c r="F47" s="102">
        <v>0.77090000000000003</v>
      </c>
      <c r="G47" s="89">
        <v>0.2291</v>
      </c>
      <c r="H47" s="89" t="s">
        <v>31</v>
      </c>
      <c r="I47" s="89" t="b">
        <v>0</v>
      </c>
      <c r="J47" s="15" t="s">
        <v>29</v>
      </c>
      <c r="K47" s="89" t="s">
        <v>32</v>
      </c>
    </row>
    <row r="48" spans="1:14" ht="18" x14ac:dyDescent="0.35">
      <c r="A48" s="88"/>
      <c r="B48" s="96" t="s">
        <v>25</v>
      </c>
      <c r="C48" s="89">
        <v>19</v>
      </c>
      <c r="D48" s="89">
        <v>2303025</v>
      </c>
      <c r="E48" s="89" t="s">
        <v>19</v>
      </c>
      <c r="F48" s="102">
        <v>0.76339999999999997</v>
      </c>
      <c r="G48" s="89">
        <v>0.2366</v>
      </c>
      <c r="H48" s="89" t="s">
        <v>31</v>
      </c>
      <c r="I48" s="89" t="b">
        <v>0</v>
      </c>
      <c r="J48" s="15" t="s">
        <v>29</v>
      </c>
      <c r="K48" s="89" t="s">
        <v>32</v>
      </c>
    </row>
    <row r="49" spans="1:11" ht="18" x14ac:dyDescent="0.35">
      <c r="A49" s="87" t="s">
        <v>25</v>
      </c>
      <c r="B49" s="88"/>
      <c r="C49" s="89">
        <v>74</v>
      </c>
      <c r="D49" s="90">
        <v>2404105</v>
      </c>
      <c r="E49" s="89" t="s">
        <v>19</v>
      </c>
      <c r="F49" s="102">
        <v>0.76259999999999994</v>
      </c>
      <c r="G49" s="89">
        <v>0.2374</v>
      </c>
      <c r="H49" s="89" t="s">
        <v>19</v>
      </c>
      <c r="I49" s="89" t="b">
        <v>1</v>
      </c>
      <c r="J49" s="11" t="s">
        <v>27</v>
      </c>
      <c r="K49" s="89"/>
    </row>
    <row r="50" spans="1:11" ht="18" x14ac:dyDescent="0.35">
      <c r="A50" s="89"/>
      <c r="B50" s="96" t="s">
        <v>25</v>
      </c>
      <c r="C50" s="89">
        <v>186</v>
      </c>
      <c r="D50" s="89">
        <v>1705222</v>
      </c>
      <c r="E50" s="89" t="s">
        <v>19</v>
      </c>
      <c r="F50" s="102">
        <v>0.76029999999999998</v>
      </c>
      <c r="G50" s="89">
        <v>0.2397</v>
      </c>
      <c r="H50" s="89" t="s">
        <v>31</v>
      </c>
      <c r="I50" s="89" t="b">
        <v>0</v>
      </c>
      <c r="J50" s="15" t="s">
        <v>29</v>
      </c>
      <c r="K50" s="89" t="s">
        <v>65</v>
      </c>
    </row>
    <row r="51" spans="1:11" ht="18" x14ac:dyDescent="0.35">
      <c r="A51" s="95" t="s">
        <v>24</v>
      </c>
      <c r="B51" s="89"/>
      <c r="C51" s="11">
        <v>179</v>
      </c>
      <c r="D51" s="11">
        <v>1705214</v>
      </c>
      <c r="E51" s="11" t="s">
        <v>19</v>
      </c>
      <c r="F51" s="101">
        <v>0.75639999999999996</v>
      </c>
      <c r="G51" s="11">
        <v>0.24360000000000001</v>
      </c>
      <c r="H51" s="11" t="s">
        <v>19</v>
      </c>
      <c r="I51" s="11" t="b">
        <v>1</v>
      </c>
      <c r="J51" s="89"/>
      <c r="K51" s="89"/>
    </row>
    <row r="52" spans="1:11" ht="18" x14ac:dyDescent="0.35">
      <c r="A52" s="88"/>
      <c r="B52" s="96" t="s">
        <v>25</v>
      </c>
      <c r="C52" s="89">
        <v>173</v>
      </c>
      <c r="D52" s="89">
        <v>2303230</v>
      </c>
      <c r="E52" s="89" t="s">
        <v>19</v>
      </c>
      <c r="F52" s="102">
        <v>0.74039999999999995</v>
      </c>
      <c r="G52" s="89">
        <v>0.2596</v>
      </c>
      <c r="H52" s="89" t="s">
        <v>31</v>
      </c>
      <c r="I52" s="89" t="b">
        <v>0</v>
      </c>
      <c r="J52" s="15" t="s">
        <v>29</v>
      </c>
      <c r="K52" s="89" t="s">
        <v>32</v>
      </c>
    </row>
    <row r="53" spans="1:11" ht="18" x14ac:dyDescent="0.35">
      <c r="A53" s="88"/>
      <c r="B53" s="96" t="s">
        <v>25</v>
      </c>
      <c r="C53" s="89">
        <v>146</v>
      </c>
      <c r="D53" s="89">
        <v>2303197</v>
      </c>
      <c r="E53" s="89" t="s">
        <v>19</v>
      </c>
      <c r="F53" s="102">
        <v>0.73970000000000002</v>
      </c>
      <c r="G53" s="89">
        <v>0.26029999999999998</v>
      </c>
      <c r="H53" s="89" t="s">
        <v>31</v>
      </c>
      <c r="I53" s="89" t="b">
        <v>0</v>
      </c>
      <c r="J53" s="15" t="s">
        <v>29</v>
      </c>
      <c r="K53" s="89" t="s">
        <v>32</v>
      </c>
    </row>
    <row r="54" spans="1:11" ht="18" x14ac:dyDescent="0.35">
      <c r="A54" s="88"/>
      <c r="B54" s="96" t="s">
        <v>25</v>
      </c>
      <c r="C54" s="89">
        <v>57</v>
      </c>
      <c r="D54" s="89">
        <v>2401073</v>
      </c>
      <c r="E54" s="89" t="s">
        <v>19</v>
      </c>
      <c r="F54" s="102">
        <v>0.73750000000000004</v>
      </c>
      <c r="G54" s="89">
        <v>0.26250000000000001</v>
      </c>
      <c r="H54" s="89" t="s">
        <v>28</v>
      </c>
      <c r="I54" s="89" t="b">
        <v>0</v>
      </c>
      <c r="J54" s="15" t="s">
        <v>29</v>
      </c>
      <c r="K54" s="89" t="s">
        <v>32</v>
      </c>
    </row>
    <row r="55" spans="1:11" ht="18" x14ac:dyDescent="0.35">
      <c r="A55" s="87" t="s">
        <v>25</v>
      </c>
      <c r="B55" s="88"/>
      <c r="C55" s="89">
        <v>87</v>
      </c>
      <c r="D55" s="90">
        <v>2404121</v>
      </c>
      <c r="E55" s="89" t="s">
        <v>19</v>
      </c>
      <c r="F55" s="102">
        <v>0.73740000000000006</v>
      </c>
      <c r="G55" s="89">
        <v>0.2626</v>
      </c>
      <c r="H55" s="89" t="s">
        <v>19</v>
      </c>
      <c r="I55" s="89" t="b">
        <v>1</v>
      </c>
      <c r="J55" s="11" t="s">
        <v>27</v>
      </c>
      <c r="K55" s="89"/>
    </row>
    <row r="56" spans="1:11" ht="18" x14ac:dyDescent="0.35">
      <c r="A56" s="95" t="s">
        <v>24</v>
      </c>
      <c r="B56" s="88"/>
      <c r="C56" s="11">
        <v>100</v>
      </c>
      <c r="D56" s="11">
        <v>2303130</v>
      </c>
      <c r="E56" s="11" t="s">
        <v>19</v>
      </c>
      <c r="F56" s="101">
        <v>0.73680000000000001</v>
      </c>
      <c r="G56" s="11">
        <v>0.26319999999999999</v>
      </c>
      <c r="H56" s="11" t="s">
        <v>19</v>
      </c>
      <c r="I56" s="11" t="b">
        <v>1</v>
      </c>
      <c r="J56" s="89"/>
      <c r="K56" s="89"/>
    </row>
    <row r="57" spans="1:11" ht="18" x14ac:dyDescent="0.35">
      <c r="A57" s="89"/>
      <c r="B57" s="96" t="s">
        <v>25</v>
      </c>
      <c r="C57" s="89">
        <v>229</v>
      </c>
      <c r="D57" s="89">
        <v>1706286</v>
      </c>
      <c r="E57" s="89" t="s">
        <v>19</v>
      </c>
      <c r="F57" s="102">
        <v>0.73440000000000005</v>
      </c>
      <c r="G57" s="89">
        <v>0.2656</v>
      </c>
      <c r="H57" s="89" t="s">
        <v>31</v>
      </c>
      <c r="I57" s="89" t="b">
        <v>0</v>
      </c>
      <c r="J57" s="15" t="s">
        <v>29</v>
      </c>
      <c r="K57" s="89" t="s">
        <v>66</v>
      </c>
    </row>
    <row r="58" spans="1:11" ht="18" x14ac:dyDescent="0.35">
      <c r="A58" s="89"/>
      <c r="B58" s="96" t="s">
        <v>25</v>
      </c>
      <c r="C58" s="89">
        <v>153</v>
      </c>
      <c r="D58" s="89">
        <v>1705177</v>
      </c>
      <c r="E58" s="89" t="s">
        <v>19</v>
      </c>
      <c r="F58" s="102">
        <v>0.73380000000000001</v>
      </c>
      <c r="G58" s="89">
        <v>0.26619999999999999</v>
      </c>
      <c r="H58" s="89" t="s">
        <v>31</v>
      </c>
      <c r="I58" s="89" t="b">
        <v>0</v>
      </c>
      <c r="J58" s="15" t="s">
        <v>29</v>
      </c>
      <c r="K58" s="89" t="s">
        <v>67</v>
      </c>
    </row>
    <row r="59" spans="1:11" ht="18" x14ac:dyDescent="0.35">
      <c r="A59" s="89"/>
      <c r="B59" s="96" t="s">
        <v>25</v>
      </c>
      <c r="C59" s="89">
        <v>87</v>
      </c>
      <c r="D59" s="89">
        <v>1706107</v>
      </c>
      <c r="E59" s="89" t="s">
        <v>19</v>
      </c>
      <c r="F59" s="102">
        <v>0.73129999999999995</v>
      </c>
      <c r="G59" s="89">
        <v>0.26869999999999999</v>
      </c>
      <c r="H59" s="89" t="s">
        <v>31</v>
      </c>
      <c r="I59" s="89" t="b">
        <v>0</v>
      </c>
      <c r="J59" s="15" t="s">
        <v>29</v>
      </c>
      <c r="K59" s="89" t="s">
        <v>66</v>
      </c>
    </row>
    <row r="60" spans="1:11" ht="18" x14ac:dyDescent="0.35">
      <c r="A60" s="88"/>
      <c r="B60" s="96" t="s">
        <v>25</v>
      </c>
      <c r="C60" s="89">
        <v>66</v>
      </c>
      <c r="D60" s="89">
        <v>2401083</v>
      </c>
      <c r="E60" s="89" t="s">
        <v>19</v>
      </c>
      <c r="F60" s="102">
        <v>0.72960000000000003</v>
      </c>
      <c r="G60" s="89">
        <v>0.27039999999999997</v>
      </c>
      <c r="H60" s="89" t="s">
        <v>31</v>
      </c>
      <c r="I60" s="89" t="b">
        <v>0</v>
      </c>
      <c r="J60" s="15" t="s">
        <v>29</v>
      </c>
      <c r="K60" s="89" t="s">
        <v>32</v>
      </c>
    </row>
    <row r="61" spans="1:11" ht="18" x14ac:dyDescent="0.35">
      <c r="A61" s="89"/>
      <c r="B61" s="96" t="s">
        <v>25</v>
      </c>
      <c r="C61" s="89">
        <v>73</v>
      </c>
      <c r="D61" s="89">
        <v>1705087</v>
      </c>
      <c r="E61" s="89" t="s">
        <v>19</v>
      </c>
      <c r="F61" s="102">
        <v>0.72950000000000004</v>
      </c>
      <c r="G61" s="89">
        <v>0.27050000000000002</v>
      </c>
      <c r="H61" s="89" t="s">
        <v>31</v>
      </c>
      <c r="I61" s="89" t="b">
        <v>0</v>
      </c>
      <c r="J61" s="15" t="s">
        <v>29</v>
      </c>
      <c r="K61" s="89" t="s">
        <v>67</v>
      </c>
    </row>
    <row r="62" spans="1:11" ht="18" x14ac:dyDescent="0.35">
      <c r="A62" s="89"/>
      <c r="B62" s="96" t="s">
        <v>25</v>
      </c>
      <c r="C62" s="89">
        <v>96</v>
      </c>
      <c r="D62" s="89">
        <v>1705113</v>
      </c>
      <c r="E62" s="89" t="s">
        <v>19</v>
      </c>
      <c r="F62" s="102">
        <v>0.72760000000000002</v>
      </c>
      <c r="G62" s="89">
        <v>0.27239999999999998</v>
      </c>
      <c r="H62" s="89" t="s">
        <v>31</v>
      </c>
      <c r="I62" s="89" t="b">
        <v>0</v>
      </c>
      <c r="J62" s="15" t="s">
        <v>29</v>
      </c>
      <c r="K62" s="89" t="s">
        <v>68</v>
      </c>
    </row>
    <row r="63" spans="1:11" ht="18" x14ac:dyDescent="0.35">
      <c r="A63" s="88"/>
      <c r="B63" s="96" t="s">
        <v>25</v>
      </c>
      <c r="C63" s="89">
        <v>268</v>
      </c>
      <c r="D63" s="89">
        <v>2303346</v>
      </c>
      <c r="E63" s="89" t="s">
        <v>19</v>
      </c>
      <c r="F63" s="102">
        <v>0.72430000000000005</v>
      </c>
      <c r="G63" s="89">
        <v>0.2757</v>
      </c>
      <c r="H63" s="89" t="s">
        <v>33</v>
      </c>
      <c r="I63" s="89" t="b">
        <v>0</v>
      </c>
      <c r="J63" s="15" t="s">
        <v>29</v>
      </c>
      <c r="K63" s="89" t="s">
        <v>34</v>
      </c>
    </row>
    <row r="64" spans="1:11" ht="18" x14ac:dyDescent="0.35">
      <c r="A64" s="88"/>
      <c r="B64" s="98" t="s">
        <v>24</v>
      </c>
      <c r="C64" s="89">
        <v>180</v>
      </c>
      <c r="D64" s="89">
        <v>2303237</v>
      </c>
      <c r="E64" s="89" t="s">
        <v>19</v>
      </c>
      <c r="F64" s="102">
        <v>0.71360000000000001</v>
      </c>
      <c r="G64" s="89">
        <v>0.28639999999999999</v>
      </c>
      <c r="H64" s="89" t="s">
        <v>35</v>
      </c>
      <c r="I64" s="89" t="b">
        <v>0</v>
      </c>
      <c r="J64" s="15" t="s">
        <v>29</v>
      </c>
      <c r="K64" s="89" t="s">
        <v>36</v>
      </c>
    </row>
    <row r="65" spans="1:11" ht="18" x14ac:dyDescent="0.35">
      <c r="A65" s="88"/>
      <c r="B65" s="92" t="s">
        <v>24</v>
      </c>
      <c r="C65" s="89">
        <v>118</v>
      </c>
      <c r="D65" s="89">
        <v>2404160</v>
      </c>
      <c r="E65" s="89" t="s">
        <v>19</v>
      </c>
      <c r="F65" s="102">
        <v>0.71179999999999999</v>
      </c>
      <c r="G65" s="89">
        <v>0.28820000000000001</v>
      </c>
      <c r="H65" s="89" t="s">
        <v>41</v>
      </c>
      <c r="I65" s="89" t="b">
        <v>0</v>
      </c>
      <c r="J65" s="15" t="s">
        <v>29</v>
      </c>
      <c r="K65" s="89" t="s">
        <v>57</v>
      </c>
    </row>
    <row r="66" spans="1:11" ht="18" x14ac:dyDescent="0.35">
      <c r="A66" s="89"/>
      <c r="B66" s="96" t="s">
        <v>25</v>
      </c>
      <c r="C66" s="89">
        <v>129</v>
      </c>
      <c r="D66" s="89">
        <v>1705152</v>
      </c>
      <c r="E66" s="89" t="s">
        <v>19</v>
      </c>
      <c r="F66" s="102">
        <v>0.7117</v>
      </c>
      <c r="G66" s="89">
        <v>0.2883</v>
      </c>
      <c r="H66" s="89" t="s">
        <v>31</v>
      </c>
      <c r="I66" s="89" t="b">
        <v>0</v>
      </c>
      <c r="J66" s="15" t="s">
        <v>29</v>
      </c>
      <c r="K66" s="89" t="s">
        <v>69</v>
      </c>
    </row>
    <row r="67" spans="1:11" ht="18" x14ac:dyDescent="0.35">
      <c r="A67" s="95" t="s">
        <v>24</v>
      </c>
      <c r="B67" s="88"/>
      <c r="C67" s="11">
        <v>260</v>
      </c>
      <c r="D67" s="11">
        <v>2303337</v>
      </c>
      <c r="E67" s="11" t="s">
        <v>19</v>
      </c>
      <c r="F67" s="101">
        <v>0.71140000000000003</v>
      </c>
      <c r="G67" s="11">
        <v>0.28860000000000002</v>
      </c>
      <c r="H67" s="11" t="s">
        <v>19</v>
      </c>
      <c r="I67" s="11" t="b">
        <v>1</v>
      </c>
      <c r="J67" s="89"/>
      <c r="K67" s="89"/>
    </row>
    <row r="68" spans="1:11" ht="18" x14ac:dyDescent="0.35">
      <c r="A68" s="88"/>
      <c r="B68" s="96" t="s">
        <v>25</v>
      </c>
      <c r="C68" s="89">
        <v>107</v>
      </c>
      <c r="D68" s="89">
        <v>2303141</v>
      </c>
      <c r="E68" s="89" t="s">
        <v>19</v>
      </c>
      <c r="F68" s="102">
        <v>0.70840000000000003</v>
      </c>
      <c r="G68" s="89">
        <v>0.29160000000000003</v>
      </c>
      <c r="H68" s="89" t="s">
        <v>31</v>
      </c>
      <c r="I68" s="89" t="b">
        <v>0</v>
      </c>
      <c r="J68" s="15" t="s">
        <v>29</v>
      </c>
      <c r="K68" s="89" t="s">
        <v>37</v>
      </c>
    </row>
    <row r="69" spans="1:11" ht="18" x14ac:dyDescent="0.35">
      <c r="A69" s="87" t="s">
        <v>25</v>
      </c>
      <c r="B69" s="89"/>
      <c r="C69" s="89">
        <v>52</v>
      </c>
      <c r="D69" s="90">
        <v>1706065</v>
      </c>
      <c r="E69" s="89" t="s">
        <v>19</v>
      </c>
      <c r="F69" s="102">
        <v>0.70450000000000002</v>
      </c>
      <c r="G69" s="89">
        <v>0.29549999999999998</v>
      </c>
      <c r="H69" s="89" t="s">
        <v>31</v>
      </c>
      <c r="I69" s="89" t="b">
        <v>0</v>
      </c>
      <c r="J69" s="11" t="s">
        <v>27</v>
      </c>
      <c r="K69" s="89"/>
    </row>
    <row r="70" spans="1:11" ht="14.4" customHeight="1" x14ac:dyDescent="0.35">
      <c r="A70" s="88"/>
      <c r="B70" s="96" t="s">
        <v>25</v>
      </c>
      <c r="C70" s="89">
        <v>242</v>
      </c>
      <c r="D70" s="89">
        <v>2303317</v>
      </c>
      <c r="E70" s="89" t="s">
        <v>19</v>
      </c>
      <c r="F70" s="102">
        <v>0.70399999999999996</v>
      </c>
      <c r="G70" s="89">
        <v>0.29599999999999999</v>
      </c>
      <c r="H70" s="89" t="s">
        <v>31</v>
      </c>
      <c r="I70" s="89" t="b">
        <v>0</v>
      </c>
      <c r="J70" s="15" t="s">
        <v>29</v>
      </c>
      <c r="K70" s="89" t="s">
        <v>32</v>
      </c>
    </row>
    <row r="71" spans="1:11" ht="14.4" customHeight="1" x14ac:dyDescent="0.35">
      <c r="A71" s="87" t="s">
        <v>25</v>
      </c>
      <c r="B71" s="89"/>
      <c r="C71" s="89">
        <v>98</v>
      </c>
      <c r="D71" s="90">
        <v>1706120</v>
      </c>
      <c r="E71" s="89" t="s">
        <v>19</v>
      </c>
      <c r="F71" s="102">
        <v>0.69569999999999999</v>
      </c>
      <c r="G71" s="89">
        <v>0.30430000000000001</v>
      </c>
      <c r="H71" s="89" t="s">
        <v>31</v>
      </c>
      <c r="I71" s="89" t="b">
        <v>0</v>
      </c>
      <c r="J71" s="11" t="s">
        <v>27</v>
      </c>
      <c r="K71" s="89"/>
    </row>
    <row r="72" spans="1:11" ht="14.4" customHeight="1" x14ac:dyDescent="0.35">
      <c r="A72" s="87" t="s">
        <v>25</v>
      </c>
      <c r="B72" s="88"/>
      <c r="C72" s="89">
        <v>38</v>
      </c>
      <c r="D72" s="90">
        <v>2404057</v>
      </c>
      <c r="E72" s="89" t="s">
        <v>19</v>
      </c>
      <c r="F72" s="102">
        <v>0.69099999999999995</v>
      </c>
      <c r="G72" s="89">
        <v>0.309</v>
      </c>
      <c r="H72" s="89" t="s">
        <v>19</v>
      </c>
      <c r="I72" s="89" t="b">
        <v>1</v>
      </c>
      <c r="J72" s="11" t="s">
        <v>27</v>
      </c>
      <c r="K72" s="89"/>
    </row>
    <row r="73" spans="1:11" ht="14.4" customHeight="1" x14ac:dyDescent="0.35">
      <c r="A73" s="95" t="s">
        <v>24</v>
      </c>
      <c r="B73" s="89"/>
      <c r="C73" s="11">
        <v>210</v>
      </c>
      <c r="D73" s="11">
        <v>1706257</v>
      </c>
      <c r="E73" s="11" t="s">
        <v>19</v>
      </c>
      <c r="F73" s="101">
        <v>0.67549999999999999</v>
      </c>
      <c r="G73" s="11">
        <v>0.32450000000000001</v>
      </c>
      <c r="H73" s="11" t="s">
        <v>19</v>
      </c>
      <c r="I73" s="11" t="b">
        <v>1</v>
      </c>
      <c r="J73" s="89"/>
      <c r="K73" s="89" t="s">
        <v>70</v>
      </c>
    </row>
    <row r="74" spans="1:11" ht="14.4" customHeight="1" x14ac:dyDescent="0.35">
      <c r="A74" s="88"/>
      <c r="B74" s="96" t="s">
        <v>25</v>
      </c>
      <c r="C74" s="89">
        <v>214</v>
      </c>
      <c r="D74" s="89">
        <v>2303277</v>
      </c>
      <c r="E74" s="89" t="s">
        <v>19</v>
      </c>
      <c r="F74" s="102">
        <v>0.67110000000000003</v>
      </c>
      <c r="G74" s="89">
        <v>0.32890000000000003</v>
      </c>
      <c r="H74" s="89" t="s">
        <v>31</v>
      </c>
      <c r="I74" s="89" t="b">
        <v>0</v>
      </c>
      <c r="J74" s="15" t="s">
        <v>29</v>
      </c>
      <c r="K74" s="89" t="s">
        <v>32</v>
      </c>
    </row>
    <row r="75" spans="1:11" ht="14.4" customHeight="1" x14ac:dyDescent="0.35">
      <c r="A75" s="89"/>
      <c r="B75" s="96" t="s">
        <v>25</v>
      </c>
      <c r="C75" s="89">
        <v>302</v>
      </c>
      <c r="D75" s="89">
        <v>1705412</v>
      </c>
      <c r="E75" s="89" t="s">
        <v>19</v>
      </c>
      <c r="F75" s="102">
        <v>0.66400000000000003</v>
      </c>
      <c r="G75" s="89">
        <v>0.33600000000000002</v>
      </c>
      <c r="H75" s="89" t="s">
        <v>31</v>
      </c>
      <c r="I75" s="89" t="b">
        <v>0</v>
      </c>
      <c r="J75" s="15" t="s">
        <v>29</v>
      </c>
      <c r="K75" s="89" t="s">
        <v>71</v>
      </c>
    </row>
    <row r="76" spans="1:11" ht="14.4" customHeight="1" x14ac:dyDescent="0.35">
      <c r="A76" s="88"/>
      <c r="B76" s="96" t="s">
        <v>25</v>
      </c>
      <c r="C76" s="89">
        <v>63</v>
      </c>
      <c r="D76" s="89">
        <v>2303079</v>
      </c>
      <c r="E76" s="89" t="s">
        <v>19</v>
      </c>
      <c r="F76" s="102">
        <v>0.65959999999999996</v>
      </c>
      <c r="G76" s="89">
        <v>0.34039999999999998</v>
      </c>
      <c r="H76" s="89" t="s">
        <v>28</v>
      </c>
      <c r="I76" s="89" t="b">
        <v>0</v>
      </c>
      <c r="J76" s="15" t="s">
        <v>29</v>
      </c>
      <c r="K76" s="89" t="s">
        <v>32</v>
      </c>
    </row>
    <row r="77" spans="1:11" ht="14.4" customHeight="1" x14ac:dyDescent="0.35">
      <c r="A77" s="89"/>
      <c r="B77" s="96" t="s">
        <v>25</v>
      </c>
      <c r="C77" s="89">
        <v>57</v>
      </c>
      <c r="D77" s="89">
        <v>1705065</v>
      </c>
      <c r="E77" s="89" t="s">
        <v>19</v>
      </c>
      <c r="F77" s="102">
        <v>0.64990000000000003</v>
      </c>
      <c r="G77" s="89">
        <v>0.35010000000000002</v>
      </c>
      <c r="H77" s="89" t="s">
        <v>31</v>
      </c>
      <c r="I77" s="89" t="b">
        <v>0</v>
      </c>
      <c r="J77" s="15" t="s">
        <v>29</v>
      </c>
      <c r="K77" s="89" t="s">
        <v>67</v>
      </c>
    </row>
    <row r="78" spans="1:11" ht="14.4" customHeight="1" x14ac:dyDescent="0.35">
      <c r="A78" s="89"/>
      <c r="B78" s="96" t="s">
        <v>25</v>
      </c>
      <c r="C78" s="89">
        <v>164</v>
      </c>
      <c r="D78" s="89">
        <v>1705190</v>
      </c>
      <c r="E78" s="89" t="s">
        <v>19</v>
      </c>
      <c r="F78" s="102">
        <v>0.64490000000000003</v>
      </c>
      <c r="G78" s="89">
        <v>0.35510000000000003</v>
      </c>
      <c r="H78" s="89" t="s">
        <v>31</v>
      </c>
      <c r="I78" s="89" t="b">
        <v>0</v>
      </c>
      <c r="J78" s="15" t="s">
        <v>29</v>
      </c>
      <c r="K78" s="89" t="s">
        <v>97</v>
      </c>
    </row>
    <row r="79" spans="1:11" ht="14.4" customHeight="1" x14ac:dyDescent="0.35">
      <c r="A79" s="89"/>
      <c r="B79" s="96" t="s">
        <v>25</v>
      </c>
      <c r="C79" s="89">
        <v>246</v>
      </c>
      <c r="D79" s="89">
        <v>1706311</v>
      </c>
      <c r="E79" s="89" t="s">
        <v>19</v>
      </c>
      <c r="F79" s="102">
        <v>0.64139999999999997</v>
      </c>
      <c r="G79" s="89">
        <v>0.35859999999999997</v>
      </c>
      <c r="H79" s="89" t="s">
        <v>38</v>
      </c>
      <c r="I79" s="89" t="b">
        <v>0</v>
      </c>
      <c r="J79" s="15" t="s">
        <v>29</v>
      </c>
      <c r="K79" s="89" t="s">
        <v>66</v>
      </c>
    </row>
    <row r="80" spans="1:11" ht="14.4" customHeight="1" x14ac:dyDescent="0.35">
      <c r="A80" s="89"/>
      <c r="B80" s="96" t="s">
        <v>25</v>
      </c>
      <c r="C80" s="89">
        <v>95</v>
      </c>
      <c r="D80" s="89">
        <v>1706117</v>
      </c>
      <c r="E80" s="89" t="s">
        <v>19</v>
      </c>
      <c r="F80" s="102">
        <v>0.64039999999999997</v>
      </c>
      <c r="G80" s="89">
        <v>0.35959999999999998</v>
      </c>
      <c r="H80" s="89" t="s">
        <v>31</v>
      </c>
      <c r="I80" s="89" t="b">
        <v>0</v>
      </c>
      <c r="J80" s="15" t="s">
        <v>29</v>
      </c>
      <c r="K80" s="89" t="s">
        <v>66</v>
      </c>
    </row>
    <row r="81" spans="1:15" ht="14.4" customHeight="1" x14ac:dyDescent="0.35">
      <c r="A81" s="88"/>
      <c r="B81" s="96" t="s">
        <v>25</v>
      </c>
      <c r="C81" s="89">
        <v>8</v>
      </c>
      <c r="D81" s="89">
        <v>2303010</v>
      </c>
      <c r="E81" s="89" t="s">
        <v>19</v>
      </c>
      <c r="F81" s="102">
        <v>0.63800000000000001</v>
      </c>
      <c r="G81" s="89">
        <v>0.36199999999999999</v>
      </c>
      <c r="H81" s="89" t="s">
        <v>28</v>
      </c>
      <c r="I81" s="89" t="b">
        <v>0</v>
      </c>
      <c r="J81" s="15" t="s">
        <v>29</v>
      </c>
      <c r="K81" s="89" t="s">
        <v>32</v>
      </c>
    </row>
    <row r="82" spans="1:15" ht="14.4" customHeight="1" x14ac:dyDescent="0.35">
      <c r="A82" s="89"/>
      <c r="B82" s="96" t="s">
        <v>25</v>
      </c>
      <c r="C82" s="89">
        <v>221</v>
      </c>
      <c r="D82" s="89">
        <v>1705262</v>
      </c>
      <c r="E82" s="89" t="s">
        <v>19</v>
      </c>
      <c r="F82" s="102">
        <v>0.63439999999999996</v>
      </c>
      <c r="G82" s="89">
        <v>0.36559999999999998</v>
      </c>
      <c r="H82" s="89" t="s">
        <v>31</v>
      </c>
      <c r="I82" s="89" t="b">
        <v>0</v>
      </c>
      <c r="J82" s="15" t="s">
        <v>29</v>
      </c>
      <c r="K82" s="89" t="s">
        <v>67</v>
      </c>
    </row>
    <row r="83" spans="1:15" ht="14.4" customHeight="1" x14ac:dyDescent="0.35">
      <c r="A83" s="89"/>
      <c r="B83" s="96" t="s">
        <v>25</v>
      </c>
      <c r="C83" s="89">
        <v>247</v>
      </c>
      <c r="D83" s="89">
        <v>1705309</v>
      </c>
      <c r="E83" s="89" t="s">
        <v>19</v>
      </c>
      <c r="F83" s="102">
        <v>0.63019999999999998</v>
      </c>
      <c r="G83" s="89">
        <v>0.36980000000000002</v>
      </c>
      <c r="H83" s="89" t="s">
        <v>31</v>
      </c>
      <c r="I83" s="89" t="b">
        <v>0</v>
      </c>
      <c r="J83" s="15" t="s">
        <v>29</v>
      </c>
      <c r="K83" s="89" t="s">
        <v>72</v>
      </c>
    </row>
    <row r="84" spans="1:15" ht="14.4" customHeight="1" x14ac:dyDescent="0.35">
      <c r="A84" s="89"/>
      <c r="B84" s="96" t="s">
        <v>25</v>
      </c>
      <c r="C84" s="89">
        <v>85</v>
      </c>
      <c r="D84" s="89">
        <v>1706105</v>
      </c>
      <c r="E84" s="89" t="s">
        <v>19</v>
      </c>
      <c r="F84" s="102">
        <v>0.62860000000000005</v>
      </c>
      <c r="G84" s="89">
        <v>0.37140000000000001</v>
      </c>
      <c r="H84" s="89" t="s">
        <v>31</v>
      </c>
      <c r="I84" s="89" t="b">
        <v>0</v>
      </c>
      <c r="J84" s="15" t="s">
        <v>29</v>
      </c>
      <c r="K84" s="89" t="s">
        <v>62</v>
      </c>
    </row>
    <row r="85" spans="1:15" ht="14.4" customHeight="1" x14ac:dyDescent="0.35">
      <c r="A85" s="88"/>
      <c r="B85" s="96" t="s">
        <v>25</v>
      </c>
      <c r="C85" s="89">
        <v>150</v>
      </c>
      <c r="D85" s="89">
        <v>2303203</v>
      </c>
      <c r="E85" s="89" t="s">
        <v>19</v>
      </c>
      <c r="F85" s="102">
        <v>0.62329999999999997</v>
      </c>
      <c r="G85" s="89">
        <v>0.37669999999999998</v>
      </c>
      <c r="H85" s="89" t="s">
        <v>31</v>
      </c>
      <c r="I85" s="89" t="b">
        <v>0</v>
      </c>
      <c r="J85" s="15" t="s">
        <v>29</v>
      </c>
      <c r="K85" s="89" t="s">
        <v>34</v>
      </c>
    </row>
    <row r="86" spans="1:15" ht="14.4" customHeight="1" x14ac:dyDescent="0.35">
      <c r="A86" s="87" t="s">
        <v>25</v>
      </c>
      <c r="B86" s="89"/>
      <c r="C86" s="89">
        <v>239</v>
      </c>
      <c r="D86" s="90">
        <v>1706303</v>
      </c>
      <c r="E86" s="89" t="s">
        <v>19</v>
      </c>
      <c r="F86" s="102">
        <v>0.61619999999999997</v>
      </c>
      <c r="G86" s="89">
        <v>0.38379999999999997</v>
      </c>
      <c r="H86" s="89" t="s">
        <v>31</v>
      </c>
      <c r="I86" s="89" t="b">
        <v>0</v>
      </c>
      <c r="J86" s="11" t="s">
        <v>27</v>
      </c>
      <c r="K86" s="89" t="s">
        <v>73</v>
      </c>
    </row>
    <row r="87" spans="1:15" ht="14.4" customHeight="1" x14ac:dyDescent="0.35">
      <c r="A87" s="89"/>
      <c r="B87" s="96" t="s">
        <v>25</v>
      </c>
      <c r="C87" s="89">
        <v>86</v>
      </c>
      <c r="D87" s="89">
        <v>1706106</v>
      </c>
      <c r="E87" s="89" t="s">
        <v>19</v>
      </c>
      <c r="F87" s="102">
        <v>0.61609999999999998</v>
      </c>
      <c r="G87" s="89">
        <v>0.38390000000000002</v>
      </c>
      <c r="H87" s="89" t="s">
        <v>31</v>
      </c>
      <c r="I87" s="89" t="b">
        <v>0</v>
      </c>
      <c r="J87" s="15" t="s">
        <v>29</v>
      </c>
      <c r="K87" s="89" t="s">
        <v>62</v>
      </c>
    </row>
    <row r="88" spans="1:15" ht="14.4" customHeight="1" x14ac:dyDescent="0.35">
      <c r="A88" s="89"/>
      <c r="B88" s="96" t="s">
        <v>25</v>
      </c>
      <c r="C88" s="89">
        <v>2</v>
      </c>
      <c r="D88" s="119">
        <v>1706003</v>
      </c>
      <c r="E88" s="119" t="s">
        <v>19</v>
      </c>
      <c r="F88" s="120">
        <v>0.6159</v>
      </c>
      <c r="G88" s="119">
        <v>0.3841</v>
      </c>
      <c r="H88" s="119" t="s">
        <v>31</v>
      </c>
      <c r="I88" s="119" t="b">
        <v>0</v>
      </c>
      <c r="J88" s="15" t="s">
        <v>29</v>
      </c>
      <c r="K88" s="112" t="s">
        <v>125</v>
      </c>
      <c r="N88" s="114" t="s">
        <v>130</v>
      </c>
      <c r="O88" s="97" t="s">
        <v>133</v>
      </c>
    </row>
    <row r="89" spans="1:15" ht="14.4" customHeight="1" x14ac:dyDescent="0.35">
      <c r="A89" s="106" t="s">
        <v>25</v>
      </c>
      <c r="B89" s="107"/>
      <c r="C89" s="108">
        <v>248</v>
      </c>
      <c r="D89" s="108">
        <v>2303324</v>
      </c>
      <c r="E89" s="108" t="s">
        <v>19</v>
      </c>
      <c r="F89" s="109">
        <v>0.61260000000000003</v>
      </c>
      <c r="G89" s="108">
        <v>0.38740000000000002</v>
      </c>
      <c r="H89" s="108" t="s">
        <v>28</v>
      </c>
      <c r="I89" s="108" t="b">
        <v>0</v>
      </c>
      <c r="J89" s="11" t="s">
        <v>27</v>
      </c>
      <c r="K89" s="89" t="s">
        <v>129</v>
      </c>
      <c r="N89" s="114" t="s">
        <v>127</v>
      </c>
    </row>
    <row r="90" spans="1:15" ht="14.4" customHeight="1" x14ac:dyDescent="0.35">
      <c r="A90" s="88"/>
      <c r="B90" s="96" t="s">
        <v>25</v>
      </c>
      <c r="C90" s="89">
        <v>38</v>
      </c>
      <c r="D90" s="89">
        <v>2303047</v>
      </c>
      <c r="E90" s="89" t="s">
        <v>19</v>
      </c>
      <c r="F90" s="102">
        <v>0.61219999999999997</v>
      </c>
      <c r="G90" s="89">
        <v>0.38779999999999998</v>
      </c>
      <c r="H90" s="89" t="s">
        <v>26</v>
      </c>
      <c r="I90" s="89" t="b">
        <v>0</v>
      </c>
      <c r="J90" s="15" t="s">
        <v>29</v>
      </c>
      <c r="K90" s="89" t="s">
        <v>34</v>
      </c>
    </row>
    <row r="91" spans="1:15" ht="14.4" customHeight="1" x14ac:dyDescent="0.35">
      <c r="A91" s="88"/>
      <c r="B91" s="96" t="s">
        <v>25</v>
      </c>
      <c r="C91" s="89">
        <v>99</v>
      </c>
      <c r="D91" s="89">
        <v>2303129</v>
      </c>
      <c r="E91" s="89" t="s">
        <v>19</v>
      </c>
      <c r="F91" s="102">
        <v>0.61209999999999998</v>
      </c>
      <c r="G91" s="89">
        <v>0.38790000000000002</v>
      </c>
      <c r="H91" s="89" t="s">
        <v>38</v>
      </c>
      <c r="I91" s="89" t="b">
        <v>0</v>
      </c>
      <c r="J91" s="15" t="s">
        <v>29</v>
      </c>
      <c r="K91" s="89" t="s">
        <v>32</v>
      </c>
    </row>
    <row r="92" spans="1:15" ht="14.4" customHeight="1" x14ac:dyDescent="0.35">
      <c r="A92" s="87" t="s">
        <v>25</v>
      </c>
      <c r="B92" s="89"/>
      <c r="C92" s="89">
        <v>121</v>
      </c>
      <c r="D92" s="90">
        <v>1705142</v>
      </c>
      <c r="E92" s="89" t="s">
        <v>19</v>
      </c>
      <c r="F92" s="102">
        <v>0.60629999999999995</v>
      </c>
      <c r="G92" s="89">
        <v>0.39369999999999999</v>
      </c>
      <c r="H92" s="89" t="s">
        <v>31</v>
      </c>
      <c r="I92" s="89" t="b">
        <v>0</v>
      </c>
      <c r="J92" s="11" t="s">
        <v>27</v>
      </c>
      <c r="K92" s="89" t="s">
        <v>75</v>
      </c>
    </row>
    <row r="93" spans="1:15" ht="14.4" customHeight="1" x14ac:dyDescent="0.35">
      <c r="A93" s="99"/>
      <c r="B93" s="96" t="s">
        <v>25</v>
      </c>
      <c r="C93" s="89">
        <v>239</v>
      </c>
      <c r="D93" s="89">
        <v>2303313</v>
      </c>
      <c r="E93" s="89" t="s">
        <v>19</v>
      </c>
      <c r="F93" s="102">
        <v>0.60460000000000003</v>
      </c>
      <c r="G93" s="89">
        <v>0.39539999999999997</v>
      </c>
      <c r="H93" s="89" t="s">
        <v>28</v>
      </c>
      <c r="I93" s="89" t="b">
        <v>0</v>
      </c>
      <c r="J93" s="15" t="s">
        <v>29</v>
      </c>
      <c r="K93" s="100" t="s">
        <v>93</v>
      </c>
    </row>
    <row r="94" spans="1:15" ht="14.4" customHeight="1" x14ac:dyDescent="0.35">
      <c r="A94" s="88"/>
      <c r="B94" s="96" t="s">
        <v>25</v>
      </c>
      <c r="C94" s="89">
        <v>221</v>
      </c>
      <c r="D94" s="89">
        <v>2303291</v>
      </c>
      <c r="E94" s="89" t="s">
        <v>19</v>
      </c>
      <c r="F94" s="102">
        <v>0.60450000000000004</v>
      </c>
      <c r="G94" s="89">
        <v>0.39550000000000002</v>
      </c>
      <c r="H94" s="89" t="s">
        <v>31</v>
      </c>
      <c r="I94" s="89" t="b">
        <v>0</v>
      </c>
      <c r="J94" s="15" t="s">
        <v>29</v>
      </c>
      <c r="K94" s="89" t="s">
        <v>32</v>
      </c>
    </row>
    <row r="95" spans="1:15" ht="14.4" customHeight="1" x14ac:dyDescent="0.35">
      <c r="A95" s="87" t="s">
        <v>25</v>
      </c>
      <c r="B95" s="88"/>
      <c r="C95" s="89">
        <v>82</v>
      </c>
      <c r="D95" s="90">
        <v>2401104</v>
      </c>
      <c r="E95" s="89" t="s">
        <v>19</v>
      </c>
      <c r="F95" s="102">
        <v>0.60150000000000003</v>
      </c>
      <c r="G95" s="89">
        <v>0.39850000000000002</v>
      </c>
      <c r="H95" s="89" t="s">
        <v>28</v>
      </c>
      <c r="I95" s="89" t="b">
        <v>0</v>
      </c>
      <c r="J95" s="11" t="s">
        <v>27</v>
      </c>
      <c r="K95" s="89"/>
    </row>
    <row r="96" spans="1:15" ht="14.4" customHeight="1" x14ac:dyDescent="0.35">
      <c r="A96" s="89"/>
      <c r="B96" s="96" t="s">
        <v>25</v>
      </c>
      <c r="C96" s="89">
        <v>167</v>
      </c>
      <c r="D96" s="89">
        <v>1705201</v>
      </c>
      <c r="E96" s="89" t="s">
        <v>19</v>
      </c>
      <c r="F96" s="102">
        <v>0.60009999999999997</v>
      </c>
      <c r="G96" s="89">
        <v>0.39989999999999998</v>
      </c>
      <c r="H96" s="89" t="s">
        <v>31</v>
      </c>
      <c r="I96" s="89" t="b">
        <v>0</v>
      </c>
      <c r="J96" s="15" t="s">
        <v>29</v>
      </c>
      <c r="K96" s="89" t="s">
        <v>76</v>
      </c>
    </row>
    <row r="97" spans="1:15" ht="14.4" customHeight="1" x14ac:dyDescent="0.35">
      <c r="A97" s="89"/>
      <c r="B97" s="96" t="s">
        <v>25</v>
      </c>
      <c r="C97" s="89">
        <v>87</v>
      </c>
      <c r="D97" s="89">
        <v>1705102</v>
      </c>
      <c r="E97" s="89" t="s">
        <v>19</v>
      </c>
      <c r="F97" s="102">
        <v>0.59519999999999995</v>
      </c>
      <c r="G97" s="89">
        <v>0.40479999999999999</v>
      </c>
      <c r="H97" s="89" t="s">
        <v>31</v>
      </c>
      <c r="I97" s="89" t="b">
        <v>0</v>
      </c>
      <c r="J97" s="15" t="s">
        <v>29</v>
      </c>
      <c r="K97" s="89" t="s">
        <v>67</v>
      </c>
    </row>
    <row r="98" spans="1:15" ht="14.4" customHeight="1" x14ac:dyDescent="0.35">
      <c r="A98" s="88"/>
      <c r="B98" s="96" t="s">
        <v>25</v>
      </c>
      <c r="C98" s="89">
        <v>110</v>
      </c>
      <c r="D98" s="89">
        <v>2303144</v>
      </c>
      <c r="E98" s="89" t="s">
        <v>19</v>
      </c>
      <c r="F98" s="102">
        <v>0.59319999999999995</v>
      </c>
      <c r="G98" s="89">
        <v>0.40679999999999999</v>
      </c>
      <c r="H98" s="89" t="s">
        <v>31</v>
      </c>
      <c r="I98" s="89" t="b">
        <v>0</v>
      </c>
      <c r="J98" s="15" t="s">
        <v>29</v>
      </c>
      <c r="K98" s="89" t="s">
        <v>34</v>
      </c>
    </row>
    <row r="99" spans="1:15" ht="14.4" customHeight="1" x14ac:dyDescent="0.35">
      <c r="A99" s="87" t="s">
        <v>25</v>
      </c>
      <c r="B99" s="88"/>
      <c r="C99" s="89">
        <v>212</v>
      </c>
      <c r="D99" s="90">
        <v>2303275</v>
      </c>
      <c r="E99" s="89" t="s">
        <v>19</v>
      </c>
      <c r="F99" s="102">
        <v>0.59019999999999995</v>
      </c>
      <c r="G99" s="89">
        <v>0.4098</v>
      </c>
      <c r="H99" s="89" t="s">
        <v>31</v>
      </c>
      <c r="I99" s="89" t="b">
        <v>0</v>
      </c>
      <c r="J99" s="11" t="s">
        <v>27</v>
      </c>
      <c r="K99" s="89" t="s">
        <v>39</v>
      </c>
    </row>
    <row r="100" spans="1:15" ht="14.4" customHeight="1" x14ac:dyDescent="0.35">
      <c r="A100" s="89"/>
      <c r="B100" s="96" t="s">
        <v>25</v>
      </c>
      <c r="C100" s="89">
        <v>272</v>
      </c>
      <c r="D100" s="89">
        <v>1705345</v>
      </c>
      <c r="E100" s="89" t="s">
        <v>19</v>
      </c>
      <c r="F100" s="102">
        <v>0.59</v>
      </c>
      <c r="G100" s="89">
        <v>0.41</v>
      </c>
      <c r="H100" s="89" t="s">
        <v>31</v>
      </c>
      <c r="I100" s="89" t="b">
        <v>0</v>
      </c>
      <c r="J100" s="15" t="s">
        <v>29</v>
      </c>
      <c r="K100" s="89" t="s">
        <v>67</v>
      </c>
    </row>
    <row r="101" spans="1:15" ht="14.4" customHeight="1" x14ac:dyDescent="0.35">
      <c r="A101" s="89"/>
      <c r="B101" s="96" t="s">
        <v>25</v>
      </c>
      <c r="C101" s="89">
        <v>55</v>
      </c>
      <c r="D101" s="89">
        <v>1705063</v>
      </c>
      <c r="E101" s="89" t="s">
        <v>19</v>
      </c>
      <c r="F101" s="102">
        <v>0.58930000000000005</v>
      </c>
      <c r="G101" s="89">
        <v>0.41070000000000001</v>
      </c>
      <c r="H101" s="89" t="s">
        <v>31</v>
      </c>
      <c r="I101" s="89" t="b">
        <v>0</v>
      </c>
      <c r="J101" s="15" t="s">
        <v>29</v>
      </c>
      <c r="K101" s="89" t="s">
        <v>67</v>
      </c>
    </row>
    <row r="102" spans="1:15" ht="14.4" customHeight="1" x14ac:dyDescent="0.35">
      <c r="A102" s="89"/>
      <c r="B102" s="96" t="s">
        <v>25</v>
      </c>
      <c r="C102" s="89">
        <v>248</v>
      </c>
      <c r="D102" s="89">
        <v>1705310</v>
      </c>
      <c r="E102" s="89" t="s">
        <v>19</v>
      </c>
      <c r="F102" s="102">
        <v>0.58499999999999996</v>
      </c>
      <c r="G102" s="89">
        <v>0.41499999999999998</v>
      </c>
      <c r="H102" s="89" t="s">
        <v>31</v>
      </c>
      <c r="I102" s="89" t="b">
        <v>0</v>
      </c>
      <c r="J102" s="15" t="s">
        <v>29</v>
      </c>
      <c r="K102" s="89" t="s">
        <v>68</v>
      </c>
    </row>
    <row r="103" spans="1:15" ht="14.4" customHeight="1" x14ac:dyDescent="0.35">
      <c r="A103" s="88"/>
      <c r="B103" s="92" t="s">
        <v>24</v>
      </c>
      <c r="C103" s="89">
        <v>110</v>
      </c>
      <c r="D103" s="89">
        <v>2404149</v>
      </c>
      <c r="E103" s="89" t="s">
        <v>19</v>
      </c>
      <c r="F103" s="102">
        <v>0.58440000000000003</v>
      </c>
      <c r="G103" s="89">
        <v>0.41560000000000002</v>
      </c>
      <c r="H103" s="89" t="s">
        <v>41</v>
      </c>
      <c r="I103" s="89" t="b">
        <v>0</v>
      </c>
      <c r="J103" s="15" t="s">
        <v>29</v>
      </c>
      <c r="K103" s="89" t="s">
        <v>58</v>
      </c>
    </row>
    <row r="104" spans="1:15" ht="14.4" customHeight="1" x14ac:dyDescent="0.35">
      <c r="A104" s="88"/>
      <c r="B104" s="96" t="s">
        <v>25</v>
      </c>
      <c r="C104" s="89">
        <v>41</v>
      </c>
      <c r="D104" s="89">
        <v>2303050</v>
      </c>
      <c r="E104" s="89" t="s">
        <v>19</v>
      </c>
      <c r="F104" s="102">
        <v>0.58299999999999996</v>
      </c>
      <c r="G104" s="89">
        <v>0.41699999999999998</v>
      </c>
      <c r="H104" s="89" t="s">
        <v>26</v>
      </c>
      <c r="I104" s="89" t="b">
        <v>0</v>
      </c>
      <c r="J104" s="15" t="s">
        <v>29</v>
      </c>
      <c r="K104" s="89" t="s">
        <v>34</v>
      </c>
    </row>
    <row r="105" spans="1:15" ht="14.4" customHeight="1" x14ac:dyDescent="0.35">
      <c r="A105" s="88"/>
      <c r="B105" s="96" t="s">
        <v>25</v>
      </c>
      <c r="C105" s="89">
        <v>31</v>
      </c>
      <c r="D105" s="89">
        <v>2401044</v>
      </c>
      <c r="E105" s="89" t="s">
        <v>19</v>
      </c>
      <c r="F105" s="102">
        <v>0.57979999999999998</v>
      </c>
      <c r="G105" s="89">
        <v>0.42020000000000002</v>
      </c>
      <c r="H105" s="89" t="s">
        <v>31</v>
      </c>
      <c r="I105" s="89" t="b">
        <v>0</v>
      </c>
      <c r="J105" s="15" t="s">
        <v>29</v>
      </c>
      <c r="K105" s="89" t="s">
        <v>32</v>
      </c>
    </row>
    <row r="106" spans="1:15" ht="14.4" customHeight="1" x14ac:dyDescent="0.35">
      <c r="A106" s="89"/>
      <c r="B106" s="96" t="s">
        <v>25</v>
      </c>
      <c r="C106" s="89">
        <v>88</v>
      </c>
      <c r="D106" s="89">
        <v>1705104</v>
      </c>
      <c r="E106" s="89" t="s">
        <v>19</v>
      </c>
      <c r="F106" s="102">
        <v>0.57969999999999999</v>
      </c>
      <c r="G106" s="89">
        <v>0.42030000000000001</v>
      </c>
      <c r="H106" s="89" t="s">
        <v>31</v>
      </c>
      <c r="I106" s="89" t="b">
        <v>0</v>
      </c>
      <c r="J106" s="15" t="s">
        <v>29</v>
      </c>
      <c r="K106" s="89" t="s">
        <v>67</v>
      </c>
    </row>
    <row r="107" spans="1:15" ht="14.4" customHeight="1" x14ac:dyDescent="0.35">
      <c r="A107" s="89"/>
      <c r="B107" s="96" t="s">
        <v>25</v>
      </c>
      <c r="C107" s="119">
        <v>108</v>
      </c>
      <c r="D107" s="119">
        <v>1706133</v>
      </c>
      <c r="E107" s="119" t="s">
        <v>19</v>
      </c>
      <c r="F107" s="120">
        <v>0.57879999999999998</v>
      </c>
      <c r="G107" s="119">
        <v>0.42120000000000002</v>
      </c>
      <c r="H107" s="119" t="s">
        <v>31</v>
      </c>
      <c r="I107" s="119" t="b">
        <v>0</v>
      </c>
      <c r="J107" s="15" t="s">
        <v>29</v>
      </c>
      <c r="K107" s="112" t="s">
        <v>126</v>
      </c>
      <c r="N107" s="114" t="s">
        <v>130</v>
      </c>
      <c r="O107" s="97" t="s">
        <v>132</v>
      </c>
    </row>
    <row r="108" spans="1:15" ht="14.4" customHeight="1" x14ac:dyDescent="0.35">
      <c r="A108" s="99"/>
      <c r="B108" s="96" t="s">
        <v>25</v>
      </c>
      <c r="C108" s="89">
        <v>252</v>
      </c>
      <c r="D108" s="89">
        <v>2303329</v>
      </c>
      <c r="E108" s="89" t="s">
        <v>19</v>
      </c>
      <c r="F108" s="102">
        <v>0.5716</v>
      </c>
      <c r="G108" s="89">
        <v>0.4284</v>
      </c>
      <c r="H108" s="89" t="s">
        <v>40</v>
      </c>
      <c r="I108" s="89" t="b">
        <v>0</v>
      </c>
      <c r="J108" s="15" t="s">
        <v>29</v>
      </c>
      <c r="K108" s="100" t="s">
        <v>94</v>
      </c>
    </row>
    <row r="109" spans="1:15" ht="14.4" customHeight="1" x14ac:dyDescent="0.35">
      <c r="A109" s="88"/>
      <c r="B109" s="96" t="s">
        <v>25</v>
      </c>
      <c r="C109" s="89">
        <v>26</v>
      </c>
      <c r="D109" s="89">
        <v>2303033</v>
      </c>
      <c r="E109" s="89" t="s">
        <v>19</v>
      </c>
      <c r="F109" s="102">
        <v>0.57140000000000002</v>
      </c>
      <c r="G109" s="89">
        <v>0.42859999999999998</v>
      </c>
      <c r="H109" s="89" t="s">
        <v>28</v>
      </c>
      <c r="I109" s="89" t="b">
        <v>0</v>
      </c>
      <c r="J109" s="15" t="s">
        <v>29</v>
      </c>
      <c r="K109" s="89" t="s">
        <v>34</v>
      </c>
    </row>
    <row r="110" spans="1:15" ht="14.4" customHeight="1" x14ac:dyDescent="0.35">
      <c r="A110" s="87" t="s">
        <v>25</v>
      </c>
      <c r="B110" s="107"/>
      <c r="C110" s="108">
        <v>131</v>
      </c>
      <c r="D110" s="108">
        <v>2303172</v>
      </c>
      <c r="E110" s="108" t="s">
        <v>19</v>
      </c>
      <c r="F110" s="109">
        <v>0.56489999999999996</v>
      </c>
      <c r="G110" s="108">
        <v>0.43509999999999999</v>
      </c>
      <c r="H110" s="108" t="s">
        <v>28</v>
      </c>
      <c r="I110" s="108" t="b">
        <v>0</v>
      </c>
      <c r="J110" s="11" t="s">
        <v>27</v>
      </c>
      <c r="K110" s="108" t="s">
        <v>122</v>
      </c>
      <c r="N110" s="114" t="s">
        <v>127</v>
      </c>
    </row>
    <row r="111" spans="1:15" ht="14.4" customHeight="1" x14ac:dyDescent="0.35">
      <c r="A111" s="89"/>
      <c r="B111" s="96" t="s">
        <v>25</v>
      </c>
      <c r="C111" s="89">
        <v>127</v>
      </c>
      <c r="D111" s="89">
        <v>1705149</v>
      </c>
      <c r="E111" s="89" t="s">
        <v>19</v>
      </c>
      <c r="F111" s="102">
        <v>0.56240000000000001</v>
      </c>
      <c r="G111" s="89">
        <v>0.43759999999999999</v>
      </c>
      <c r="H111" s="89" t="s">
        <v>31</v>
      </c>
      <c r="I111" s="89" t="b">
        <v>0</v>
      </c>
      <c r="J111" s="15" t="s">
        <v>29</v>
      </c>
      <c r="K111" s="89" t="s">
        <v>67</v>
      </c>
    </row>
    <row r="112" spans="1:15" ht="14.4" customHeight="1" x14ac:dyDescent="0.35">
      <c r="A112" s="88"/>
      <c r="B112" s="98" t="s">
        <v>24</v>
      </c>
      <c r="C112" s="89">
        <v>200</v>
      </c>
      <c r="D112" s="89">
        <v>2303262</v>
      </c>
      <c r="E112" s="89" t="s">
        <v>19</v>
      </c>
      <c r="F112" s="102">
        <v>0.5575</v>
      </c>
      <c r="G112" s="89">
        <v>0.4425</v>
      </c>
      <c r="H112" s="89" t="s">
        <v>41</v>
      </c>
      <c r="I112" s="89" t="b">
        <v>0</v>
      </c>
      <c r="J112" s="15" t="s">
        <v>29</v>
      </c>
      <c r="K112" s="89" t="s">
        <v>95</v>
      </c>
    </row>
    <row r="113" spans="1:14" ht="14.4" customHeight="1" x14ac:dyDescent="0.35">
      <c r="A113" s="89"/>
      <c r="B113" s="96" t="s">
        <v>25</v>
      </c>
      <c r="C113" s="89">
        <v>122</v>
      </c>
      <c r="D113" s="89">
        <v>1705143</v>
      </c>
      <c r="E113" s="89" t="s">
        <v>19</v>
      </c>
      <c r="F113" s="102">
        <v>0.55459999999999998</v>
      </c>
      <c r="G113" s="89">
        <v>0.44540000000000002</v>
      </c>
      <c r="H113" s="89" t="s">
        <v>31</v>
      </c>
      <c r="I113" s="89" t="b">
        <v>0</v>
      </c>
      <c r="J113" s="15" t="s">
        <v>29</v>
      </c>
      <c r="K113" s="89" t="s">
        <v>67</v>
      </c>
    </row>
    <row r="114" spans="1:14" ht="14.4" customHeight="1" x14ac:dyDescent="0.35">
      <c r="A114" s="88"/>
      <c r="B114" s="96" t="s">
        <v>25</v>
      </c>
      <c r="C114" s="89">
        <v>171</v>
      </c>
      <c r="D114" s="89">
        <v>2303228</v>
      </c>
      <c r="E114" s="89" t="s">
        <v>19</v>
      </c>
      <c r="F114" s="102">
        <v>0.55049999999999999</v>
      </c>
      <c r="G114" s="89">
        <v>0.44950000000000001</v>
      </c>
      <c r="H114" s="89" t="s">
        <v>28</v>
      </c>
      <c r="I114" s="89" t="b">
        <v>0</v>
      </c>
      <c r="J114" s="15" t="s">
        <v>29</v>
      </c>
      <c r="K114" s="89" t="s">
        <v>34</v>
      </c>
    </row>
    <row r="115" spans="1:14" ht="14.4" customHeight="1" x14ac:dyDescent="0.35">
      <c r="A115" s="89"/>
      <c r="B115" s="96" t="s">
        <v>25</v>
      </c>
      <c r="C115" s="89">
        <v>185</v>
      </c>
      <c r="D115" s="89">
        <v>1706219</v>
      </c>
      <c r="E115" s="89" t="s">
        <v>19</v>
      </c>
      <c r="F115" s="102">
        <v>0.53500000000000003</v>
      </c>
      <c r="G115" s="89">
        <v>0.46500000000000002</v>
      </c>
      <c r="H115" s="89" t="s">
        <v>31</v>
      </c>
      <c r="I115" s="89" t="b">
        <v>0</v>
      </c>
      <c r="J115" s="15" t="s">
        <v>29</v>
      </c>
      <c r="K115" s="89" t="s">
        <v>74</v>
      </c>
    </row>
    <row r="116" spans="1:14" ht="14.4" customHeight="1" x14ac:dyDescent="0.35">
      <c r="A116" s="88"/>
      <c r="B116" s="98" t="s">
        <v>24</v>
      </c>
      <c r="C116" s="89">
        <v>28</v>
      </c>
      <c r="D116" s="89">
        <v>2303037</v>
      </c>
      <c r="E116" s="89" t="s">
        <v>19</v>
      </c>
      <c r="F116" s="102">
        <v>0.53490000000000004</v>
      </c>
      <c r="G116" s="89">
        <v>0.46510000000000001</v>
      </c>
      <c r="H116" s="89" t="s">
        <v>41</v>
      </c>
      <c r="I116" s="89" t="b">
        <v>0</v>
      </c>
      <c r="J116" s="15" t="s">
        <v>29</v>
      </c>
      <c r="K116" s="89" t="s">
        <v>34</v>
      </c>
    </row>
    <row r="117" spans="1:14" ht="14.4" customHeight="1" x14ac:dyDescent="0.35">
      <c r="A117" s="89"/>
      <c r="B117" s="96" t="s">
        <v>25</v>
      </c>
      <c r="C117" s="89">
        <v>16</v>
      </c>
      <c r="D117" s="89">
        <v>1706023</v>
      </c>
      <c r="E117" s="89" t="s">
        <v>19</v>
      </c>
      <c r="F117" s="102">
        <v>0.53459999999999996</v>
      </c>
      <c r="G117" s="89">
        <v>0.46539999999999998</v>
      </c>
      <c r="H117" s="89" t="s">
        <v>31</v>
      </c>
      <c r="I117" s="89" t="b">
        <v>0</v>
      </c>
      <c r="J117" s="15" t="s">
        <v>29</v>
      </c>
      <c r="K117" s="89" t="s">
        <v>66</v>
      </c>
    </row>
    <row r="118" spans="1:14" ht="14.4" customHeight="1" x14ac:dyDescent="0.35">
      <c r="A118" s="88"/>
      <c r="B118" s="98" t="s">
        <v>24</v>
      </c>
      <c r="C118" s="89">
        <v>189</v>
      </c>
      <c r="D118" s="89">
        <v>2303248</v>
      </c>
      <c r="E118" s="89" t="s">
        <v>19</v>
      </c>
      <c r="F118" s="102">
        <v>0.53410000000000002</v>
      </c>
      <c r="G118" s="89">
        <v>0.46589999999999998</v>
      </c>
      <c r="H118" s="89" t="s">
        <v>41</v>
      </c>
      <c r="I118" s="89" t="b">
        <v>0</v>
      </c>
      <c r="J118" s="15" t="s">
        <v>29</v>
      </c>
      <c r="K118" s="89" t="s">
        <v>34</v>
      </c>
    </row>
    <row r="119" spans="1:14" ht="14.4" customHeight="1" x14ac:dyDescent="0.35">
      <c r="A119" s="88"/>
      <c r="B119" s="96" t="s">
        <v>25</v>
      </c>
      <c r="C119" s="89">
        <v>148</v>
      </c>
      <c r="D119" s="89">
        <v>2303201</v>
      </c>
      <c r="E119" s="89" t="s">
        <v>19</v>
      </c>
      <c r="F119" s="102">
        <v>0.52829999999999999</v>
      </c>
      <c r="G119" s="89">
        <v>0.47170000000000001</v>
      </c>
      <c r="H119" s="89" t="s">
        <v>31</v>
      </c>
      <c r="I119" s="89" t="b">
        <v>0</v>
      </c>
      <c r="J119" s="15" t="s">
        <v>29</v>
      </c>
      <c r="K119" s="89" t="s">
        <v>42</v>
      </c>
    </row>
    <row r="120" spans="1:14" ht="14.4" customHeight="1" x14ac:dyDescent="0.35">
      <c r="A120" s="89"/>
      <c r="B120" s="96" t="s">
        <v>25</v>
      </c>
      <c r="C120" s="89">
        <v>250</v>
      </c>
      <c r="D120" s="89">
        <v>1705313</v>
      </c>
      <c r="E120" s="89" t="s">
        <v>19</v>
      </c>
      <c r="F120" s="102">
        <v>0.5272</v>
      </c>
      <c r="G120" s="89">
        <v>0.4728</v>
      </c>
      <c r="H120" s="89" t="s">
        <v>31</v>
      </c>
      <c r="I120" s="89" t="b">
        <v>0</v>
      </c>
      <c r="J120" s="15" t="s">
        <v>29</v>
      </c>
      <c r="K120" s="89" t="s">
        <v>72</v>
      </c>
    </row>
    <row r="121" spans="1:14" ht="14.4" customHeight="1" x14ac:dyDescent="0.35">
      <c r="A121" s="88"/>
      <c r="B121" s="96" t="s">
        <v>25</v>
      </c>
      <c r="C121" s="89">
        <v>243</v>
      </c>
      <c r="D121" s="89">
        <v>2303318</v>
      </c>
      <c r="E121" s="89" t="s">
        <v>19</v>
      </c>
      <c r="F121" s="102">
        <v>0.52290000000000003</v>
      </c>
      <c r="G121" s="89">
        <v>0.47710000000000002</v>
      </c>
      <c r="H121" s="89" t="s">
        <v>31</v>
      </c>
      <c r="I121" s="89" t="b">
        <v>0</v>
      </c>
      <c r="J121" s="15" t="s">
        <v>29</v>
      </c>
      <c r="K121" s="89" t="s">
        <v>32</v>
      </c>
    </row>
    <row r="122" spans="1:14" ht="14.4" customHeight="1" x14ac:dyDescent="0.35">
      <c r="A122" s="95" t="s">
        <v>24</v>
      </c>
      <c r="B122" s="88"/>
      <c r="C122" s="93">
        <v>9</v>
      </c>
      <c r="D122" s="11">
        <v>2404013</v>
      </c>
      <c r="E122" s="11" t="s">
        <v>19</v>
      </c>
      <c r="F122" s="101">
        <v>0.52080000000000004</v>
      </c>
      <c r="G122" s="11">
        <v>0.47920000000000001</v>
      </c>
      <c r="H122" s="11" t="s">
        <v>19</v>
      </c>
      <c r="I122" s="11" t="b">
        <v>1</v>
      </c>
      <c r="J122" s="89"/>
      <c r="K122" s="89" t="s">
        <v>56</v>
      </c>
    </row>
    <row r="123" spans="1:14" ht="14.4" customHeight="1" x14ac:dyDescent="0.35">
      <c r="A123" s="87" t="s">
        <v>25</v>
      </c>
      <c r="B123" s="88"/>
      <c r="C123" s="89">
        <v>266</v>
      </c>
      <c r="D123" s="108">
        <v>2303343</v>
      </c>
      <c r="E123" s="108" t="s">
        <v>19</v>
      </c>
      <c r="F123" s="109">
        <v>0.51770000000000005</v>
      </c>
      <c r="G123" s="108">
        <v>0.48230000000000001</v>
      </c>
      <c r="H123" s="108" t="s">
        <v>28</v>
      </c>
      <c r="I123" s="108" t="b">
        <v>0</v>
      </c>
      <c r="J123" s="11" t="s">
        <v>27</v>
      </c>
      <c r="K123" s="89" t="s">
        <v>43</v>
      </c>
      <c r="L123" s="110" t="s">
        <v>121</v>
      </c>
      <c r="N123" s="114" t="s">
        <v>127</v>
      </c>
    </row>
    <row r="124" spans="1:14" ht="14.4" customHeight="1" x14ac:dyDescent="0.35">
      <c r="A124" s="87" t="s">
        <v>25</v>
      </c>
      <c r="B124" s="88"/>
      <c r="C124" s="89">
        <v>155</v>
      </c>
      <c r="D124" s="90">
        <v>2303210</v>
      </c>
      <c r="E124" s="89" t="s">
        <v>19</v>
      </c>
      <c r="F124" s="102">
        <v>0.51729999999999998</v>
      </c>
      <c r="G124" s="89">
        <v>0.48270000000000002</v>
      </c>
      <c r="H124" s="89" t="s">
        <v>31</v>
      </c>
      <c r="I124" s="89" t="b">
        <v>0</v>
      </c>
      <c r="J124" s="11" t="s">
        <v>27</v>
      </c>
      <c r="K124" s="89"/>
    </row>
    <row r="125" spans="1:14" ht="14.4" customHeight="1" x14ac:dyDescent="0.35">
      <c r="A125" s="89"/>
      <c r="B125" s="96" t="s">
        <v>25</v>
      </c>
      <c r="C125" s="89">
        <v>234</v>
      </c>
      <c r="D125" s="89">
        <v>1705282</v>
      </c>
      <c r="E125" s="89" t="s">
        <v>19</v>
      </c>
      <c r="F125" s="102">
        <v>0.51559999999999995</v>
      </c>
      <c r="G125" s="89">
        <v>0.4844</v>
      </c>
      <c r="H125" s="89" t="s">
        <v>31</v>
      </c>
      <c r="I125" s="89" t="b">
        <v>0</v>
      </c>
      <c r="J125" s="15" t="s">
        <v>29</v>
      </c>
      <c r="K125" s="89" t="s">
        <v>68</v>
      </c>
    </row>
    <row r="126" spans="1:14" ht="14.4" customHeight="1" x14ac:dyDescent="0.35">
      <c r="A126" s="88"/>
      <c r="B126" s="96" t="s">
        <v>25</v>
      </c>
      <c r="C126" s="89">
        <v>14</v>
      </c>
      <c r="D126" s="119">
        <v>2404019</v>
      </c>
      <c r="E126" s="119" t="s">
        <v>19</v>
      </c>
      <c r="F126" s="120">
        <v>0.51190000000000002</v>
      </c>
      <c r="G126" s="119">
        <v>0.48809999999999998</v>
      </c>
      <c r="H126" s="119" t="s">
        <v>31</v>
      </c>
      <c r="I126" s="119" t="b">
        <v>0</v>
      </c>
      <c r="J126" s="15" t="s">
        <v>29</v>
      </c>
      <c r="K126" s="112" t="s">
        <v>59</v>
      </c>
      <c r="N126" s="114" t="s">
        <v>130</v>
      </c>
    </row>
    <row r="127" spans="1:14" ht="14.4" customHeight="1" x14ac:dyDescent="0.35">
      <c r="A127" s="88"/>
      <c r="B127" s="96" t="s">
        <v>25</v>
      </c>
      <c r="C127" s="89">
        <v>17</v>
      </c>
      <c r="D127" s="89">
        <v>2401023</v>
      </c>
      <c r="E127" s="89" t="s">
        <v>19</v>
      </c>
      <c r="F127" s="102">
        <v>0.51149999999999995</v>
      </c>
      <c r="G127" s="89">
        <v>0.48849999999999999</v>
      </c>
      <c r="H127" s="89" t="s">
        <v>31</v>
      </c>
      <c r="I127" s="89" t="b">
        <v>0</v>
      </c>
      <c r="J127" s="15" t="s">
        <v>29</v>
      </c>
      <c r="K127" s="89" t="s">
        <v>44</v>
      </c>
    </row>
    <row r="128" spans="1:14" ht="14.4" customHeight="1" x14ac:dyDescent="0.35">
      <c r="A128" s="89"/>
      <c r="B128" s="96" t="s">
        <v>25</v>
      </c>
      <c r="C128" s="89">
        <v>99</v>
      </c>
      <c r="D128" s="89">
        <v>1705116</v>
      </c>
      <c r="E128" s="89" t="s">
        <v>19</v>
      </c>
      <c r="F128" s="102">
        <v>0.50949999999999995</v>
      </c>
      <c r="G128" s="89">
        <v>0.49049999999999999</v>
      </c>
      <c r="H128" s="89" t="s">
        <v>31</v>
      </c>
      <c r="I128" s="89" t="b">
        <v>0</v>
      </c>
      <c r="J128" s="15" t="s">
        <v>29</v>
      </c>
      <c r="K128" s="89" t="s">
        <v>77</v>
      </c>
    </row>
    <row r="129" spans="1:11" ht="14.4" customHeight="1" x14ac:dyDescent="0.35">
      <c r="A129" s="88"/>
      <c r="B129" s="96" t="s">
        <v>25</v>
      </c>
      <c r="C129" s="89">
        <v>27</v>
      </c>
      <c r="D129" s="89">
        <v>2401039</v>
      </c>
      <c r="E129" s="89" t="s">
        <v>19</v>
      </c>
      <c r="F129" s="102">
        <v>0.50900000000000001</v>
      </c>
      <c r="G129" s="89">
        <v>0.49099999999999999</v>
      </c>
      <c r="H129" s="89" t="s">
        <v>28</v>
      </c>
      <c r="I129" s="89" t="b">
        <v>0</v>
      </c>
      <c r="J129" s="15" t="s">
        <v>29</v>
      </c>
      <c r="K129" s="89" t="s">
        <v>44</v>
      </c>
    </row>
    <row r="130" spans="1:11" ht="14.4" customHeight="1" x14ac:dyDescent="0.35">
      <c r="A130" s="88"/>
      <c r="B130" s="92" t="s">
        <v>24</v>
      </c>
      <c r="C130" s="89">
        <v>112</v>
      </c>
      <c r="D130" s="89">
        <v>2404151</v>
      </c>
      <c r="E130" s="89" t="s">
        <v>19</v>
      </c>
      <c r="F130" s="102">
        <v>0.50790000000000002</v>
      </c>
      <c r="G130" s="89">
        <v>0.49209999999999998</v>
      </c>
      <c r="H130" s="89" t="s">
        <v>41</v>
      </c>
      <c r="I130" s="89" t="b">
        <v>0</v>
      </c>
      <c r="J130" s="15" t="s">
        <v>29</v>
      </c>
      <c r="K130" s="89" t="s">
        <v>58</v>
      </c>
    </row>
    <row r="131" spans="1:11" ht="14.4" customHeight="1" x14ac:dyDescent="0.35">
      <c r="A131" s="88"/>
      <c r="B131" s="98" t="s">
        <v>24</v>
      </c>
      <c r="C131" s="89">
        <v>159</v>
      </c>
      <c r="D131" s="89">
        <v>2303214</v>
      </c>
      <c r="E131" s="89" t="s">
        <v>19</v>
      </c>
      <c r="F131" s="102">
        <v>0.50780000000000003</v>
      </c>
      <c r="G131" s="89">
        <v>0.49220000000000003</v>
      </c>
      <c r="H131" s="89" t="s">
        <v>45</v>
      </c>
      <c r="I131" s="89" t="b">
        <v>0</v>
      </c>
      <c r="J131" s="15" t="s">
        <v>29</v>
      </c>
      <c r="K131" s="89" t="s">
        <v>34</v>
      </c>
    </row>
    <row r="132" spans="1:11" ht="14.4" customHeight="1" x14ac:dyDescent="0.35">
      <c r="A132" s="89"/>
      <c r="B132" s="96" t="s">
        <v>25</v>
      </c>
      <c r="C132" s="89">
        <v>58</v>
      </c>
      <c r="D132" s="89">
        <v>1705066</v>
      </c>
      <c r="E132" s="89" t="s">
        <v>19</v>
      </c>
      <c r="F132" s="102">
        <v>0.50760000000000005</v>
      </c>
      <c r="G132" s="89">
        <v>0.4924</v>
      </c>
      <c r="H132" s="89" t="s">
        <v>31</v>
      </c>
      <c r="I132" s="89" t="b">
        <v>0</v>
      </c>
      <c r="J132" s="15" t="s">
        <v>29</v>
      </c>
      <c r="K132" s="89" t="s">
        <v>68</v>
      </c>
    </row>
    <row r="133" spans="1:11" ht="14.4" customHeight="1" x14ac:dyDescent="0.35">
      <c r="A133" s="88"/>
      <c r="B133" s="96" t="s">
        <v>25</v>
      </c>
      <c r="C133" s="89">
        <v>283</v>
      </c>
      <c r="D133" s="89">
        <v>2303361</v>
      </c>
      <c r="E133" s="89" t="s">
        <v>19</v>
      </c>
      <c r="F133" s="102">
        <v>0.50580000000000003</v>
      </c>
      <c r="G133" s="89">
        <v>0.49419999999999997</v>
      </c>
      <c r="H133" s="89" t="s">
        <v>31</v>
      </c>
      <c r="I133" s="89" t="b">
        <v>0</v>
      </c>
      <c r="J133" s="15" t="s">
        <v>29</v>
      </c>
      <c r="K133" s="89" t="s">
        <v>32</v>
      </c>
    </row>
    <row r="134" spans="1:11" s="105" customFormat="1" ht="14.4" customHeight="1" thickBot="1" x14ac:dyDescent="0.4">
      <c r="A134" s="26"/>
      <c r="B134" s="103" t="s">
        <v>24</v>
      </c>
      <c r="C134" s="18">
        <v>37</v>
      </c>
      <c r="D134" s="18">
        <v>2303046</v>
      </c>
      <c r="E134" s="18" t="s">
        <v>19</v>
      </c>
      <c r="F134" s="104">
        <v>0.5</v>
      </c>
      <c r="G134" s="18">
        <v>0.5</v>
      </c>
      <c r="H134" s="18" t="s">
        <v>41</v>
      </c>
      <c r="I134" s="18" t="b">
        <v>0</v>
      </c>
      <c r="J134" s="19" t="s">
        <v>29</v>
      </c>
      <c r="K134" s="18" t="s">
        <v>34</v>
      </c>
    </row>
    <row r="135" spans="1:11" x14ac:dyDescent="0.3">
      <c r="A135" s="89"/>
      <c r="B135" s="89"/>
      <c r="C135" s="89">
        <v>104</v>
      </c>
      <c r="D135" s="89">
        <v>1706126</v>
      </c>
      <c r="E135" s="89" t="s">
        <v>20</v>
      </c>
      <c r="F135" s="89">
        <v>0.49380000000000002</v>
      </c>
      <c r="G135" s="89">
        <v>0.50619999999999998</v>
      </c>
      <c r="H135" s="89" t="s">
        <v>31</v>
      </c>
      <c r="I135" s="89" t="b">
        <v>0</v>
      </c>
      <c r="J135" s="89"/>
      <c r="K135" s="89"/>
    </row>
    <row r="136" spans="1:11" x14ac:dyDescent="0.3">
      <c r="A136" s="89"/>
      <c r="B136" s="89"/>
      <c r="C136" s="89">
        <v>91</v>
      </c>
      <c r="D136" s="89">
        <v>2401117</v>
      </c>
      <c r="E136" s="89" t="s">
        <v>20</v>
      </c>
      <c r="F136" s="89">
        <v>0.49359999999999998</v>
      </c>
      <c r="G136" s="89">
        <v>0.50639999999999996</v>
      </c>
      <c r="H136" s="89" t="s">
        <v>41</v>
      </c>
      <c r="I136" s="89" t="b">
        <v>0</v>
      </c>
      <c r="J136" s="89"/>
      <c r="K136" s="89"/>
    </row>
    <row r="137" spans="1:11" x14ac:dyDescent="0.3">
      <c r="A137" s="89"/>
      <c r="B137" s="89"/>
      <c r="C137" s="89">
        <v>280</v>
      </c>
      <c r="D137" s="89">
        <v>2303358</v>
      </c>
      <c r="E137" s="89" t="s">
        <v>20</v>
      </c>
      <c r="F137" s="89">
        <v>0.49009999999999998</v>
      </c>
      <c r="G137" s="89">
        <v>0.50990000000000002</v>
      </c>
      <c r="H137" s="89" t="s">
        <v>28</v>
      </c>
      <c r="I137" s="89" t="b">
        <v>0</v>
      </c>
      <c r="J137" s="89"/>
      <c r="K137" s="89"/>
    </row>
    <row r="138" spans="1:11" x14ac:dyDescent="0.3">
      <c r="A138" s="89"/>
      <c r="B138" s="89"/>
      <c r="C138" s="89">
        <v>22</v>
      </c>
      <c r="D138" s="89">
        <v>1706030</v>
      </c>
      <c r="E138" s="89" t="s">
        <v>20</v>
      </c>
      <c r="F138" s="89">
        <v>0.48580000000000001</v>
      </c>
      <c r="G138" s="89">
        <v>0.51419999999999999</v>
      </c>
      <c r="H138" s="89" t="s">
        <v>31</v>
      </c>
      <c r="I138" s="89" t="b">
        <v>0</v>
      </c>
      <c r="J138" s="89"/>
      <c r="K138" s="89"/>
    </row>
    <row r="139" spans="1:11" x14ac:dyDescent="0.3">
      <c r="A139" s="89"/>
      <c r="B139" s="89"/>
      <c r="C139" s="89">
        <v>78</v>
      </c>
      <c r="D139" s="89">
        <v>2404111</v>
      </c>
      <c r="E139" s="89" t="s">
        <v>20</v>
      </c>
      <c r="F139" s="89">
        <v>0.48470000000000002</v>
      </c>
      <c r="G139" s="89">
        <v>0.51529999999999998</v>
      </c>
      <c r="H139" s="89" t="s">
        <v>31</v>
      </c>
      <c r="I139" s="89" t="b">
        <v>0</v>
      </c>
      <c r="J139" s="89"/>
      <c r="K139" s="89"/>
    </row>
    <row r="140" spans="1:11" x14ac:dyDescent="0.3">
      <c r="A140" s="89"/>
      <c r="B140" s="89"/>
      <c r="C140" s="89">
        <v>68</v>
      </c>
      <c r="D140" s="89">
        <v>1706086</v>
      </c>
      <c r="E140" s="89" t="s">
        <v>20</v>
      </c>
      <c r="F140" s="89">
        <v>0.4844</v>
      </c>
      <c r="G140" s="89">
        <v>0.51559999999999995</v>
      </c>
      <c r="H140" s="89" t="s">
        <v>31</v>
      </c>
      <c r="I140" s="89" t="b">
        <v>0</v>
      </c>
      <c r="J140" s="89"/>
      <c r="K140" s="89"/>
    </row>
    <row r="141" spans="1:11" x14ac:dyDescent="0.3">
      <c r="A141" s="89"/>
      <c r="B141" s="89"/>
      <c r="C141" s="89">
        <v>236</v>
      </c>
      <c r="D141" s="89">
        <v>1705289</v>
      </c>
      <c r="E141" s="89" t="s">
        <v>20</v>
      </c>
      <c r="F141" s="89">
        <v>0.48420000000000002</v>
      </c>
      <c r="G141" s="89">
        <v>0.51580000000000004</v>
      </c>
      <c r="H141" s="89" t="s">
        <v>31</v>
      </c>
      <c r="I141" s="89" t="b">
        <v>0</v>
      </c>
      <c r="J141" s="89"/>
      <c r="K141" s="89"/>
    </row>
    <row r="142" spans="1:11" x14ac:dyDescent="0.3">
      <c r="A142" s="89"/>
      <c r="B142" s="89"/>
      <c r="C142" s="89">
        <v>149</v>
      </c>
      <c r="D142" s="89">
        <v>2303202</v>
      </c>
      <c r="E142" s="89" t="s">
        <v>20</v>
      </c>
      <c r="F142" s="89">
        <v>0.48049999999999998</v>
      </c>
      <c r="G142" s="89">
        <v>0.51949999999999996</v>
      </c>
      <c r="H142" s="89" t="s">
        <v>31</v>
      </c>
      <c r="I142" s="89" t="b">
        <v>0</v>
      </c>
      <c r="J142" s="89"/>
      <c r="K142" s="89"/>
    </row>
    <row r="143" spans="1:11" x14ac:dyDescent="0.3">
      <c r="A143" s="89"/>
      <c r="B143" s="89"/>
      <c r="C143" s="89">
        <v>303</v>
      </c>
      <c r="D143" s="89">
        <v>1705413</v>
      </c>
      <c r="E143" s="89" t="s">
        <v>20</v>
      </c>
      <c r="F143" s="89">
        <v>0.47820000000000001</v>
      </c>
      <c r="G143" s="89">
        <v>0.52180000000000004</v>
      </c>
      <c r="H143" s="89" t="s">
        <v>31</v>
      </c>
      <c r="I143" s="89" t="b">
        <v>0</v>
      </c>
      <c r="J143" s="89"/>
      <c r="K143" s="89"/>
    </row>
    <row r="144" spans="1:11" x14ac:dyDescent="0.3">
      <c r="A144" s="89"/>
      <c r="B144" s="89"/>
      <c r="C144" s="89">
        <v>223</v>
      </c>
      <c r="D144" s="89">
        <v>1705264</v>
      </c>
      <c r="E144" s="89" t="s">
        <v>20</v>
      </c>
      <c r="F144" s="89">
        <v>0.47670000000000001</v>
      </c>
      <c r="G144" s="89">
        <v>0.52329999999999999</v>
      </c>
      <c r="H144" s="89" t="s">
        <v>38</v>
      </c>
      <c r="I144" s="89" t="b">
        <v>0</v>
      </c>
      <c r="J144" s="89"/>
      <c r="K144" s="89"/>
    </row>
    <row r="145" spans="1:11" x14ac:dyDescent="0.3">
      <c r="A145" s="89"/>
      <c r="B145" s="89"/>
      <c r="C145" s="89">
        <v>59</v>
      </c>
      <c r="D145" s="89">
        <v>2303071</v>
      </c>
      <c r="E145" s="89" t="s">
        <v>20</v>
      </c>
      <c r="F145" s="89">
        <v>0.47649999999999998</v>
      </c>
      <c r="G145" s="89">
        <v>0.52349999999999997</v>
      </c>
      <c r="H145" s="89" t="s">
        <v>41</v>
      </c>
      <c r="I145" s="89" t="b">
        <v>0</v>
      </c>
      <c r="J145" s="89"/>
      <c r="K145" s="89"/>
    </row>
    <row r="146" spans="1:11" x14ac:dyDescent="0.3">
      <c r="A146" s="89"/>
      <c r="B146" s="89"/>
      <c r="C146" s="89">
        <v>117</v>
      </c>
      <c r="D146" s="89">
        <v>2303154</v>
      </c>
      <c r="E146" s="89" t="s">
        <v>20</v>
      </c>
      <c r="F146" s="89">
        <v>0.47449999999999998</v>
      </c>
      <c r="G146" s="89">
        <v>0.52549999999999997</v>
      </c>
      <c r="H146" s="89" t="s">
        <v>31</v>
      </c>
      <c r="I146" s="89" t="b">
        <v>0</v>
      </c>
      <c r="J146" s="89"/>
      <c r="K146" s="89"/>
    </row>
    <row r="147" spans="1:11" x14ac:dyDescent="0.3">
      <c r="A147" s="89"/>
      <c r="B147" s="89"/>
      <c r="C147" s="89">
        <v>279</v>
      </c>
      <c r="D147" s="89">
        <v>1705365</v>
      </c>
      <c r="E147" s="89" t="s">
        <v>20</v>
      </c>
      <c r="F147" s="89">
        <v>0.47210000000000002</v>
      </c>
      <c r="G147" s="89">
        <v>0.52790000000000004</v>
      </c>
      <c r="H147" s="89" t="s">
        <v>31</v>
      </c>
      <c r="I147" s="89" t="b">
        <v>0</v>
      </c>
      <c r="J147" s="89"/>
      <c r="K147" s="89"/>
    </row>
    <row r="148" spans="1:11" x14ac:dyDescent="0.3">
      <c r="A148" s="89"/>
      <c r="B148" s="89"/>
      <c r="C148" s="89">
        <v>49</v>
      </c>
      <c r="D148" s="89">
        <v>2401063</v>
      </c>
      <c r="E148" s="89" t="s">
        <v>20</v>
      </c>
      <c r="F148" s="89">
        <v>0.4713</v>
      </c>
      <c r="G148" s="89">
        <v>0.52869999999999995</v>
      </c>
      <c r="H148" s="89" t="s">
        <v>28</v>
      </c>
      <c r="I148" s="89" t="b">
        <v>0</v>
      </c>
      <c r="J148" s="89"/>
      <c r="K148" s="89"/>
    </row>
    <row r="149" spans="1:11" x14ac:dyDescent="0.3">
      <c r="A149" s="89"/>
      <c r="B149" s="89"/>
      <c r="C149" s="89">
        <v>225</v>
      </c>
      <c r="D149" s="89">
        <v>1705267</v>
      </c>
      <c r="E149" s="89" t="s">
        <v>20</v>
      </c>
      <c r="F149" s="89">
        <v>0.47110000000000002</v>
      </c>
      <c r="G149" s="89">
        <v>0.52890000000000004</v>
      </c>
      <c r="H149" s="89" t="s">
        <v>31</v>
      </c>
      <c r="I149" s="89" t="b">
        <v>0</v>
      </c>
      <c r="J149" s="89"/>
      <c r="K149" s="89"/>
    </row>
    <row r="150" spans="1:11" x14ac:dyDescent="0.3">
      <c r="A150" s="89"/>
      <c r="B150" s="89"/>
      <c r="C150" s="89">
        <v>240</v>
      </c>
      <c r="D150" s="89">
        <v>1706304</v>
      </c>
      <c r="E150" s="89" t="s">
        <v>20</v>
      </c>
      <c r="F150" s="89">
        <v>0.46560000000000001</v>
      </c>
      <c r="G150" s="89">
        <v>0.53439999999999999</v>
      </c>
      <c r="H150" s="89" t="s">
        <v>31</v>
      </c>
      <c r="I150" s="89" t="b">
        <v>0</v>
      </c>
      <c r="J150" s="89"/>
      <c r="K150" s="89"/>
    </row>
    <row r="151" spans="1:11" x14ac:dyDescent="0.3">
      <c r="A151" s="89"/>
      <c r="B151" s="89"/>
      <c r="C151" s="89">
        <v>190</v>
      </c>
      <c r="D151" s="89">
        <v>2303249</v>
      </c>
      <c r="E151" s="89" t="s">
        <v>20</v>
      </c>
      <c r="F151" s="89">
        <v>0.45829999999999999</v>
      </c>
      <c r="G151" s="89">
        <v>0.54169999999999996</v>
      </c>
      <c r="H151" s="89" t="s">
        <v>31</v>
      </c>
      <c r="I151" s="89" t="b">
        <v>0</v>
      </c>
      <c r="J151" s="89"/>
      <c r="K151" s="89"/>
    </row>
    <row r="152" spans="1:11" x14ac:dyDescent="0.3">
      <c r="A152" s="89"/>
      <c r="B152" s="89"/>
      <c r="C152" s="89">
        <v>64</v>
      </c>
      <c r="D152" s="89">
        <v>1706080</v>
      </c>
      <c r="E152" s="89" t="s">
        <v>20</v>
      </c>
      <c r="F152" s="89">
        <v>0.45800000000000002</v>
      </c>
      <c r="G152" s="89">
        <v>0.54200000000000004</v>
      </c>
      <c r="H152" s="89" t="s">
        <v>52</v>
      </c>
      <c r="I152" s="89" t="b">
        <v>0</v>
      </c>
      <c r="J152" s="89"/>
      <c r="K152" s="89"/>
    </row>
    <row r="153" spans="1:11" x14ac:dyDescent="0.3">
      <c r="A153" s="89"/>
      <c r="B153" s="89"/>
      <c r="C153" s="89">
        <v>227</v>
      </c>
      <c r="D153" s="89">
        <v>2303298</v>
      </c>
      <c r="E153" s="89" t="s">
        <v>20</v>
      </c>
      <c r="F153" s="89">
        <v>0.45619999999999999</v>
      </c>
      <c r="G153" s="89">
        <v>0.54379999999999995</v>
      </c>
      <c r="H153" s="89" t="s">
        <v>38</v>
      </c>
      <c r="I153" s="89" t="b">
        <v>0</v>
      </c>
      <c r="J153" s="89"/>
      <c r="K153" s="89"/>
    </row>
    <row r="154" spans="1:11" x14ac:dyDescent="0.3">
      <c r="A154" s="89"/>
      <c r="B154" s="89"/>
      <c r="C154" s="89">
        <v>79</v>
      </c>
      <c r="D154" s="89">
        <v>1705094</v>
      </c>
      <c r="E154" s="89" t="s">
        <v>20</v>
      </c>
      <c r="F154" s="89">
        <v>0.45610000000000001</v>
      </c>
      <c r="G154" s="89">
        <v>0.54390000000000005</v>
      </c>
      <c r="H154" s="89" t="s">
        <v>41</v>
      </c>
      <c r="I154" s="89" t="b">
        <v>0</v>
      </c>
      <c r="J154" s="89"/>
      <c r="K154" s="89"/>
    </row>
    <row r="155" spans="1:11" x14ac:dyDescent="0.3">
      <c r="A155" s="89"/>
      <c r="B155" s="89"/>
      <c r="C155" s="89">
        <v>93</v>
      </c>
      <c r="D155" s="89">
        <v>2303121</v>
      </c>
      <c r="E155" s="89" t="s">
        <v>20</v>
      </c>
      <c r="F155" s="89">
        <v>0.45079999999999998</v>
      </c>
      <c r="G155" s="89">
        <v>0.54920000000000002</v>
      </c>
      <c r="H155" s="89" t="s">
        <v>28</v>
      </c>
      <c r="I155" s="89" t="b">
        <v>0</v>
      </c>
      <c r="J155" s="89"/>
      <c r="K155" s="89"/>
    </row>
    <row r="156" spans="1:11" x14ac:dyDescent="0.3">
      <c r="A156" s="89"/>
      <c r="B156" s="89"/>
      <c r="C156" s="89">
        <v>178</v>
      </c>
      <c r="D156" s="89">
        <v>2303235</v>
      </c>
      <c r="E156" s="89" t="s">
        <v>20</v>
      </c>
      <c r="F156" s="89">
        <v>0.4486</v>
      </c>
      <c r="G156" s="89">
        <v>0.5514</v>
      </c>
      <c r="H156" s="89" t="s">
        <v>31</v>
      </c>
      <c r="I156" s="89" t="b">
        <v>0</v>
      </c>
      <c r="J156" s="89"/>
      <c r="K156" s="89"/>
    </row>
    <row r="157" spans="1:11" x14ac:dyDescent="0.3">
      <c r="A157" s="89"/>
      <c r="B157" s="89"/>
      <c r="C157" s="89">
        <v>28</v>
      </c>
      <c r="D157" s="89">
        <v>1706036</v>
      </c>
      <c r="E157" s="89" t="s">
        <v>20</v>
      </c>
      <c r="F157" s="89">
        <v>0.44829999999999998</v>
      </c>
      <c r="G157" s="89">
        <v>0.55169999999999997</v>
      </c>
      <c r="H157" s="89" t="s">
        <v>31</v>
      </c>
      <c r="I157" s="89" t="b">
        <v>0</v>
      </c>
      <c r="J157" s="89"/>
      <c r="K157" s="89"/>
    </row>
    <row r="158" spans="1:11" x14ac:dyDescent="0.3">
      <c r="A158" s="89"/>
      <c r="B158" s="89"/>
      <c r="C158" s="89">
        <v>111</v>
      </c>
      <c r="D158" s="89">
        <v>2303146</v>
      </c>
      <c r="E158" s="89" t="s">
        <v>20</v>
      </c>
      <c r="F158" s="89">
        <v>0.44800000000000001</v>
      </c>
      <c r="G158" s="89">
        <v>0.55200000000000005</v>
      </c>
      <c r="H158" s="89" t="s">
        <v>31</v>
      </c>
      <c r="I158" s="89" t="b">
        <v>0</v>
      </c>
      <c r="J158" s="89"/>
      <c r="K158" s="89"/>
    </row>
    <row r="159" spans="1:11" x14ac:dyDescent="0.3">
      <c r="A159" s="89"/>
      <c r="B159" s="89"/>
      <c r="C159" s="89">
        <v>166</v>
      </c>
      <c r="D159" s="89">
        <v>1705200</v>
      </c>
      <c r="E159" s="89" t="s">
        <v>20</v>
      </c>
      <c r="F159" s="89">
        <v>0.44059999999999999</v>
      </c>
      <c r="G159" s="89">
        <v>0.55940000000000001</v>
      </c>
      <c r="H159" s="89" t="s">
        <v>31</v>
      </c>
      <c r="I159" s="89" t="b">
        <v>0</v>
      </c>
      <c r="J159" s="89"/>
      <c r="K159" s="89"/>
    </row>
    <row r="160" spans="1:11" x14ac:dyDescent="0.3">
      <c r="A160" s="89"/>
      <c r="B160" s="89"/>
      <c r="C160" s="89">
        <v>89</v>
      </c>
      <c r="D160" s="89">
        <v>2303115</v>
      </c>
      <c r="E160" s="89" t="s">
        <v>20</v>
      </c>
      <c r="F160" s="89">
        <v>0.43890000000000001</v>
      </c>
      <c r="G160" s="89">
        <v>0.56110000000000004</v>
      </c>
      <c r="H160" s="89" t="s">
        <v>31</v>
      </c>
      <c r="I160" s="89" t="b">
        <v>0</v>
      </c>
      <c r="J160" s="89"/>
      <c r="K160" s="89"/>
    </row>
    <row r="161" spans="1:11" x14ac:dyDescent="0.3">
      <c r="A161" s="89"/>
      <c r="B161" s="89"/>
      <c r="C161" s="89">
        <v>171</v>
      </c>
      <c r="D161" s="89">
        <v>1705206</v>
      </c>
      <c r="E161" s="89" t="s">
        <v>20</v>
      </c>
      <c r="F161" s="89">
        <v>0.43840000000000001</v>
      </c>
      <c r="G161" s="89">
        <v>0.56159999999999999</v>
      </c>
      <c r="H161" s="89" t="s">
        <v>31</v>
      </c>
      <c r="I161" s="89" t="b">
        <v>0</v>
      </c>
      <c r="J161" s="89"/>
      <c r="K161" s="89"/>
    </row>
    <row r="162" spans="1:11" x14ac:dyDescent="0.3">
      <c r="A162" s="89"/>
      <c r="B162" s="89"/>
      <c r="C162" s="89">
        <v>306</v>
      </c>
      <c r="D162" s="89">
        <v>1705420</v>
      </c>
      <c r="E162" s="89" t="s">
        <v>20</v>
      </c>
      <c r="F162" s="89">
        <v>0.4345</v>
      </c>
      <c r="G162" s="89">
        <v>0.5655</v>
      </c>
      <c r="H162" s="89" t="s">
        <v>38</v>
      </c>
      <c r="I162" s="89" t="b">
        <v>0</v>
      </c>
      <c r="J162" s="89"/>
      <c r="K162" s="89"/>
    </row>
    <row r="163" spans="1:11" x14ac:dyDescent="0.3">
      <c r="A163" s="89"/>
      <c r="B163" s="89"/>
      <c r="C163" s="89">
        <v>253</v>
      </c>
      <c r="D163" s="89">
        <v>2303330</v>
      </c>
      <c r="E163" s="89" t="s">
        <v>20</v>
      </c>
      <c r="F163" s="89">
        <v>0.43</v>
      </c>
      <c r="G163" s="89">
        <v>0.56999999999999995</v>
      </c>
      <c r="H163" s="89" t="s">
        <v>31</v>
      </c>
      <c r="I163" s="89" t="b">
        <v>0</v>
      </c>
      <c r="J163" s="89"/>
      <c r="K163" s="89"/>
    </row>
    <row r="164" spans="1:11" x14ac:dyDescent="0.3">
      <c r="A164" s="89"/>
      <c r="B164" s="89"/>
      <c r="C164" s="89">
        <v>100</v>
      </c>
      <c r="D164" s="89">
        <v>1706122</v>
      </c>
      <c r="E164" s="89" t="s">
        <v>20</v>
      </c>
      <c r="F164" s="89">
        <v>0.42870000000000003</v>
      </c>
      <c r="G164" s="89">
        <v>0.57130000000000003</v>
      </c>
      <c r="H164" s="89" t="s">
        <v>54</v>
      </c>
      <c r="I164" s="89" t="b">
        <v>0</v>
      </c>
      <c r="J164" s="89"/>
      <c r="K164" s="89"/>
    </row>
    <row r="165" spans="1:11" x14ac:dyDescent="0.3">
      <c r="A165" s="89"/>
      <c r="B165" s="89"/>
      <c r="C165" s="89">
        <v>244</v>
      </c>
      <c r="D165" s="89">
        <v>1705306</v>
      </c>
      <c r="E165" s="89" t="s">
        <v>20</v>
      </c>
      <c r="F165" s="89">
        <v>0.42820000000000003</v>
      </c>
      <c r="G165" s="89">
        <v>0.57179999999999997</v>
      </c>
      <c r="H165" s="89" t="s">
        <v>38</v>
      </c>
      <c r="I165" s="89" t="b">
        <v>0</v>
      </c>
      <c r="J165" s="89"/>
      <c r="K165" s="89"/>
    </row>
    <row r="166" spans="1:11" x14ac:dyDescent="0.3">
      <c r="A166" s="89"/>
      <c r="B166" s="89"/>
      <c r="C166" s="89">
        <v>235</v>
      </c>
      <c r="D166" s="89">
        <v>1705287</v>
      </c>
      <c r="E166" s="89" t="s">
        <v>20</v>
      </c>
      <c r="F166" s="89">
        <v>0.42730000000000001</v>
      </c>
      <c r="G166" s="89">
        <v>0.57269999999999999</v>
      </c>
      <c r="H166" s="89" t="s">
        <v>31</v>
      </c>
      <c r="I166" s="89" t="b">
        <v>0</v>
      </c>
      <c r="J166" s="89"/>
      <c r="K166" s="89"/>
    </row>
    <row r="167" spans="1:11" x14ac:dyDescent="0.3">
      <c r="A167" s="89"/>
      <c r="B167" s="89"/>
      <c r="C167" s="89">
        <v>269</v>
      </c>
      <c r="D167" s="89">
        <v>1706345</v>
      </c>
      <c r="E167" s="89" t="s">
        <v>20</v>
      </c>
      <c r="F167" s="89">
        <v>0.42730000000000001</v>
      </c>
      <c r="G167" s="89">
        <v>0.57269999999999999</v>
      </c>
      <c r="H167" s="89" t="s">
        <v>47</v>
      </c>
      <c r="I167" s="89" t="b">
        <v>0</v>
      </c>
      <c r="J167" s="89"/>
      <c r="K167" s="89"/>
    </row>
    <row r="168" spans="1:11" x14ac:dyDescent="0.3">
      <c r="A168" s="89"/>
      <c r="B168" s="89"/>
      <c r="C168" s="89">
        <v>58</v>
      </c>
      <c r="D168" s="89">
        <v>2401074</v>
      </c>
      <c r="E168" s="89" t="s">
        <v>20</v>
      </c>
      <c r="F168" s="89">
        <v>0.42709999999999998</v>
      </c>
      <c r="G168" s="89">
        <v>0.57289999999999996</v>
      </c>
      <c r="H168" s="89" t="s">
        <v>31</v>
      </c>
      <c r="I168" s="89" t="b">
        <v>0</v>
      </c>
      <c r="J168" s="89"/>
      <c r="K168" s="89"/>
    </row>
    <row r="169" spans="1:11" x14ac:dyDescent="0.3">
      <c r="A169" s="89"/>
      <c r="B169" s="89"/>
      <c r="C169" s="89">
        <v>99</v>
      </c>
      <c r="D169" s="89">
        <v>1706121</v>
      </c>
      <c r="E169" s="89" t="s">
        <v>20</v>
      </c>
      <c r="F169" s="89">
        <v>0.42549999999999999</v>
      </c>
      <c r="G169" s="89">
        <v>0.57450000000000001</v>
      </c>
      <c r="H169" s="89" t="s">
        <v>38</v>
      </c>
      <c r="I169" s="89" t="b">
        <v>0</v>
      </c>
      <c r="J169" s="89"/>
      <c r="K169" s="89"/>
    </row>
    <row r="170" spans="1:11" x14ac:dyDescent="0.3">
      <c r="A170" s="89"/>
      <c r="B170" s="89"/>
      <c r="C170" s="89">
        <v>204</v>
      </c>
      <c r="D170" s="89">
        <v>2303267</v>
      </c>
      <c r="E170" s="89" t="s">
        <v>20</v>
      </c>
      <c r="F170" s="89">
        <v>0.4224</v>
      </c>
      <c r="G170" s="89">
        <v>0.5776</v>
      </c>
      <c r="H170" s="89" t="s">
        <v>31</v>
      </c>
      <c r="I170" s="89" t="b">
        <v>0</v>
      </c>
      <c r="J170" s="89"/>
      <c r="K170" s="89"/>
    </row>
    <row r="171" spans="1:11" x14ac:dyDescent="0.3">
      <c r="A171" s="89"/>
      <c r="B171" s="89"/>
      <c r="C171" s="89">
        <v>65</v>
      </c>
      <c r="D171" s="89">
        <v>1705074</v>
      </c>
      <c r="E171" s="89" t="s">
        <v>20</v>
      </c>
      <c r="F171" s="89">
        <v>0.4214</v>
      </c>
      <c r="G171" s="89">
        <v>0.5786</v>
      </c>
      <c r="H171" s="89" t="s">
        <v>31</v>
      </c>
      <c r="I171" s="89" t="b">
        <v>0</v>
      </c>
      <c r="J171" s="89"/>
      <c r="K171" s="89"/>
    </row>
    <row r="172" spans="1:11" x14ac:dyDescent="0.3">
      <c r="A172" s="89"/>
      <c r="B172" s="89"/>
      <c r="C172" s="89">
        <v>63</v>
      </c>
      <c r="D172" s="89">
        <v>1706079</v>
      </c>
      <c r="E172" s="89" t="s">
        <v>20</v>
      </c>
      <c r="F172" s="89">
        <v>0.42009999999999997</v>
      </c>
      <c r="G172" s="89">
        <v>0.57989999999999997</v>
      </c>
      <c r="H172" s="89" t="s">
        <v>38</v>
      </c>
      <c r="I172" s="89" t="b">
        <v>0</v>
      </c>
      <c r="J172" s="89"/>
      <c r="K172" s="89"/>
    </row>
    <row r="173" spans="1:11" x14ac:dyDescent="0.3">
      <c r="A173" s="89"/>
      <c r="B173" s="89"/>
      <c r="C173" s="89">
        <v>216</v>
      </c>
      <c r="D173" s="89">
        <v>2303281</v>
      </c>
      <c r="E173" s="89" t="s">
        <v>20</v>
      </c>
      <c r="F173" s="89">
        <v>0.41930000000000001</v>
      </c>
      <c r="G173" s="89">
        <v>0.58069999999999999</v>
      </c>
      <c r="H173" s="89" t="s">
        <v>46</v>
      </c>
      <c r="I173" s="89" t="b">
        <v>0</v>
      </c>
      <c r="J173" s="89"/>
      <c r="K173" s="89"/>
    </row>
    <row r="174" spans="1:11" x14ac:dyDescent="0.3">
      <c r="A174" s="89"/>
      <c r="B174" s="89"/>
      <c r="C174" s="89">
        <v>37</v>
      </c>
      <c r="D174" s="89">
        <v>2404056</v>
      </c>
      <c r="E174" s="89" t="s">
        <v>20</v>
      </c>
      <c r="F174" s="89">
        <v>0.41889999999999999</v>
      </c>
      <c r="G174" s="89">
        <v>0.58109999999999995</v>
      </c>
      <c r="H174" s="89" t="s">
        <v>33</v>
      </c>
      <c r="I174" s="89" t="b">
        <v>0</v>
      </c>
      <c r="J174" s="89"/>
      <c r="K174" s="89"/>
    </row>
    <row r="175" spans="1:11" x14ac:dyDescent="0.3">
      <c r="A175" s="89"/>
      <c r="B175" s="89"/>
      <c r="C175" s="89">
        <v>261</v>
      </c>
      <c r="D175" s="89">
        <v>2303338</v>
      </c>
      <c r="E175" s="89" t="s">
        <v>20</v>
      </c>
      <c r="F175" s="89">
        <v>0.41320000000000001</v>
      </c>
      <c r="G175" s="89">
        <v>0.58679999999999999</v>
      </c>
      <c r="H175" s="89" t="s">
        <v>28</v>
      </c>
      <c r="I175" s="89" t="b">
        <v>0</v>
      </c>
      <c r="J175" s="89"/>
      <c r="K175" s="89"/>
    </row>
    <row r="176" spans="1:11" x14ac:dyDescent="0.3">
      <c r="A176" s="89"/>
      <c r="B176" s="89"/>
      <c r="C176" s="89">
        <v>76</v>
      </c>
      <c r="D176" s="89">
        <v>1705090</v>
      </c>
      <c r="E176" s="89" t="s">
        <v>20</v>
      </c>
      <c r="F176" s="89">
        <v>0.41060000000000002</v>
      </c>
      <c r="G176" s="89">
        <v>0.58940000000000003</v>
      </c>
      <c r="H176" s="89" t="s">
        <v>45</v>
      </c>
      <c r="I176" s="89" t="b">
        <v>0</v>
      </c>
      <c r="J176" s="89"/>
      <c r="K176" s="89"/>
    </row>
    <row r="177" spans="1:11" x14ac:dyDescent="0.3">
      <c r="A177" s="89"/>
      <c r="B177" s="89"/>
      <c r="C177" s="89">
        <v>203</v>
      </c>
      <c r="D177" s="89">
        <v>1706243</v>
      </c>
      <c r="E177" s="89" t="s">
        <v>20</v>
      </c>
      <c r="F177" s="89">
        <v>0.40649999999999997</v>
      </c>
      <c r="G177" s="89">
        <v>0.59350000000000003</v>
      </c>
      <c r="H177" s="89" t="s">
        <v>47</v>
      </c>
      <c r="I177" s="89" t="b">
        <v>0</v>
      </c>
      <c r="J177" s="89"/>
      <c r="K177" s="89"/>
    </row>
    <row r="178" spans="1:11" x14ac:dyDescent="0.3">
      <c r="A178" s="89"/>
      <c r="B178" s="89"/>
      <c r="C178" s="89">
        <v>265</v>
      </c>
      <c r="D178" s="89">
        <v>1705335</v>
      </c>
      <c r="E178" s="89" t="s">
        <v>20</v>
      </c>
      <c r="F178" s="89">
        <v>0.40410000000000001</v>
      </c>
      <c r="G178" s="89">
        <v>0.59589999999999999</v>
      </c>
      <c r="H178" s="89" t="s">
        <v>31</v>
      </c>
      <c r="I178" s="89" t="b">
        <v>0</v>
      </c>
      <c r="J178" s="89"/>
      <c r="K178" s="89"/>
    </row>
    <row r="179" spans="1:11" x14ac:dyDescent="0.3">
      <c r="A179" s="89"/>
      <c r="B179" s="89"/>
      <c r="C179" s="89">
        <v>105</v>
      </c>
      <c r="D179" s="89">
        <v>1705124</v>
      </c>
      <c r="E179" s="89" t="s">
        <v>20</v>
      </c>
      <c r="F179" s="89">
        <v>0.40189999999999998</v>
      </c>
      <c r="G179" s="89">
        <v>0.59809999999999997</v>
      </c>
      <c r="H179" s="89" t="s">
        <v>31</v>
      </c>
      <c r="I179" s="89" t="b">
        <v>0</v>
      </c>
      <c r="J179" s="89"/>
      <c r="K179" s="89"/>
    </row>
    <row r="180" spans="1:11" x14ac:dyDescent="0.3">
      <c r="A180" s="89"/>
      <c r="B180" s="89"/>
      <c r="C180" s="89">
        <v>163</v>
      </c>
      <c r="D180" s="89">
        <v>1705189</v>
      </c>
      <c r="E180" s="89" t="s">
        <v>20</v>
      </c>
      <c r="F180" s="89">
        <v>0.4012</v>
      </c>
      <c r="G180" s="89">
        <v>0.5988</v>
      </c>
      <c r="H180" s="89" t="s">
        <v>41</v>
      </c>
      <c r="I180" s="89" t="b">
        <v>0</v>
      </c>
      <c r="J180" s="89"/>
      <c r="K180" s="89"/>
    </row>
    <row r="181" spans="1:11" x14ac:dyDescent="0.3">
      <c r="A181" s="89"/>
      <c r="B181" s="89"/>
      <c r="C181" s="89">
        <v>62</v>
      </c>
      <c r="D181" s="89">
        <v>1705070</v>
      </c>
      <c r="E181" s="89" t="s">
        <v>20</v>
      </c>
      <c r="F181" s="89">
        <v>0.40079999999999999</v>
      </c>
      <c r="G181" s="89">
        <v>0.59919999999999995</v>
      </c>
      <c r="H181" s="89" t="s">
        <v>31</v>
      </c>
      <c r="I181" s="89" t="b">
        <v>0</v>
      </c>
      <c r="J181" s="89"/>
      <c r="K181" s="89"/>
    </row>
    <row r="182" spans="1:11" x14ac:dyDescent="0.3">
      <c r="A182" s="89"/>
      <c r="B182" s="89"/>
      <c r="C182" s="89">
        <v>50</v>
      </c>
      <c r="D182" s="89">
        <v>1705058</v>
      </c>
      <c r="E182" s="89" t="s">
        <v>20</v>
      </c>
      <c r="F182" s="89">
        <v>0.39979999999999999</v>
      </c>
      <c r="G182" s="89">
        <v>0.60019999999999996</v>
      </c>
      <c r="H182" s="89" t="s">
        <v>52</v>
      </c>
      <c r="I182" s="89" t="b">
        <v>0</v>
      </c>
      <c r="J182" s="89"/>
      <c r="K182" s="89"/>
    </row>
    <row r="183" spans="1:11" x14ac:dyDescent="0.3">
      <c r="A183" s="89"/>
      <c r="B183" s="89"/>
      <c r="C183" s="89">
        <v>203</v>
      </c>
      <c r="D183" s="89">
        <v>2303266</v>
      </c>
      <c r="E183" s="89" t="s">
        <v>20</v>
      </c>
      <c r="F183" s="89">
        <v>0.39979999999999999</v>
      </c>
      <c r="G183" s="89">
        <v>0.60019999999999996</v>
      </c>
      <c r="H183" s="89" t="s">
        <v>38</v>
      </c>
      <c r="I183" s="89" t="b">
        <v>0</v>
      </c>
      <c r="J183" s="89"/>
      <c r="K183" s="89"/>
    </row>
    <row r="184" spans="1:11" x14ac:dyDescent="0.3">
      <c r="A184" s="89"/>
      <c r="B184" s="89"/>
      <c r="C184" s="89">
        <v>126</v>
      </c>
      <c r="D184" s="89">
        <v>1706153</v>
      </c>
      <c r="E184" s="89" t="s">
        <v>20</v>
      </c>
      <c r="F184" s="89">
        <v>0.39510000000000001</v>
      </c>
      <c r="G184" s="89">
        <v>0.60489999999999999</v>
      </c>
      <c r="H184" s="89" t="s">
        <v>31</v>
      </c>
      <c r="I184" s="89" t="b">
        <v>0</v>
      </c>
      <c r="J184" s="89"/>
      <c r="K184" s="89"/>
    </row>
    <row r="185" spans="1:11" x14ac:dyDescent="0.3">
      <c r="A185" s="89"/>
      <c r="B185" s="89"/>
      <c r="C185" s="89">
        <v>91</v>
      </c>
      <c r="D185" s="89">
        <v>1705107</v>
      </c>
      <c r="E185" s="89" t="s">
        <v>20</v>
      </c>
      <c r="F185" s="89">
        <v>0.39179999999999998</v>
      </c>
      <c r="G185" s="89">
        <v>0.60819999999999996</v>
      </c>
      <c r="H185" s="89" t="s">
        <v>26</v>
      </c>
      <c r="I185" s="89" t="b">
        <v>0</v>
      </c>
      <c r="J185" s="89"/>
      <c r="K185" s="89"/>
    </row>
    <row r="186" spans="1:11" x14ac:dyDescent="0.3">
      <c r="A186" s="89"/>
      <c r="B186" s="89"/>
      <c r="C186" s="89">
        <v>143</v>
      </c>
      <c r="D186" s="89">
        <v>2303191</v>
      </c>
      <c r="E186" s="89" t="s">
        <v>20</v>
      </c>
      <c r="F186" s="89">
        <v>0.39100000000000001</v>
      </c>
      <c r="G186" s="89">
        <v>0.60899999999999999</v>
      </c>
      <c r="H186" s="89" t="s">
        <v>31</v>
      </c>
      <c r="I186" s="89" t="b">
        <v>0</v>
      </c>
      <c r="J186" s="89"/>
      <c r="K186" s="89"/>
    </row>
    <row r="187" spans="1:11" x14ac:dyDescent="0.3">
      <c r="A187" s="89"/>
      <c r="B187" s="89"/>
      <c r="C187" s="89">
        <v>134</v>
      </c>
      <c r="D187" s="89">
        <v>1705157</v>
      </c>
      <c r="E187" s="89" t="s">
        <v>20</v>
      </c>
      <c r="F187" s="89">
        <v>0.3891</v>
      </c>
      <c r="G187" s="89">
        <v>0.6109</v>
      </c>
      <c r="H187" s="89" t="s">
        <v>31</v>
      </c>
      <c r="I187" s="89" t="b">
        <v>0</v>
      </c>
      <c r="J187" s="89"/>
      <c r="K187" s="89"/>
    </row>
    <row r="188" spans="1:11" x14ac:dyDescent="0.3">
      <c r="A188" s="89"/>
      <c r="B188" s="89"/>
      <c r="C188" s="89">
        <v>245</v>
      </c>
      <c r="D188" s="89">
        <v>1706310</v>
      </c>
      <c r="E188" s="89" t="s">
        <v>20</v>
      </c>
      <c r="F188" s="89">
        <v>0.38900000000000001</v>
      </c>
      <c r="G188" s="89">
        <v>0.61099999999999999</v>
      </c>
      <c r="H188" s="89" t="s">
        <v>38</v>
      </c>
      <c r="I188" s="89" t="b">
        <v>0</v>
      </c>
      <c r="J188" s="89"/>
      <c r="K188" s="89"/>
    </row>
    <row r="189" spans="1:11" x14ac:dyDescent="0.3">
      <c r="A189" s="89"/>
      <c r="B189" s="89"/>
      <c r="C189" s="89">
        <v>44</v>
      </c>
      <c r="D189" s="89">
        <v>1706057</v>
      </c>
      <c r="E189" s="89" t="s">
        <v>20</v>
      </c>
      <c r="F189" s="89">
        <v>0.38879999999999998</v>
      </c>
      <c r="G189" s="89">
        <v>0.61119999999999997</v>
      </c>
      <c r="H189" s="89" t="s">
        <v>41</v>
      </c>
      <c r="I189" s="89" t="b">
        <v>0</v>
      </c>
      <c r="J189" s="89"/>
      <c r="K189" s="89"/>
    </row>
    <row r="190" spans="1:11" x14ac:dyDescent="0.3">
      <c r="A190" s="89"/>
      <c r="B190" s="89"/>
      <c r="C190" s="89">
        <v>220</v>
      </c>
      <c r="D190" s="89">
        <v>1705261</v>
      </c>
      <c r="E190" s="89" t="s">
        <v>20</v>
      </c>
      <c r="F190" s="89">
        <v>0.38800000000000001</v>
      </c>
      <c r="G190" s="89">
        <v>0.61199999999999999</v>
      </c>
      <c r="H190" s="89" t="s">
        <v>38</v>
      </c>
      <c r="I190" s="89" t="b">
        <v>0</v>
      </c>
      <c r="J190" s="89"/>
      <c r="K190" s="89"/>
    </row>
    <row r="191" spans="1:11" x14ac:dyDescent="0.3">
      <c r="A191" s="89"/>
      <c r="B191" s="89"/>
      <c r="C191" s="89">
        <v>223</v>
      </c>
      <c r="D191" s="89">
        <v>1706277</v>
      </c>
      <c r="E191" s="89" t="s">
        <v>20</v>
      </c>
      <c r="F191" s="89">
        <v>0.38750000000000001</v>
      </c>
      <c r="G191" s="89">
        <v>0.61250000000000004</v>
      </c>
      <c r="H191" s="89" t="s">
        <v>31</v>
      </c>
      <c r="I191" s="89" t="b">
        <v>0</v>
      </c>
      <c r="J191" s="89"/>
      <c r="K191" s="89"/>
    </row>
    <row r="192" spans="1:11" x14ac:dyDescent="0.3">
      <c r="A192" s="89"/>
      <c r="B192" s="89"/>
      <c r="C192" s="89">
        <v>116</v>
      </c>
      <c r="D192" s="89">
        <v>2303153</v>
      </c>
      <c r="E192" s="89" t="s">
        <v>20</v>
      </c>
      <c r="F192" s="89">
        <v>0.38019999999999998</v>
      </c>
      <c r="G192" s="89">
        <v>0.61980000000000002</v>
      </c>
      <c r="H192" s="89" t="s">
        <v>31</v>
      </c>
      <c r="I192" s="89" t="b">
        <v>0</v>
      </c>
      <c r="J192" s="89"/>
      <c r="K192" s="89"/>
    </row>
    <row r="193" spans="1:11" x14ac:dyDescent="0.3">
      <c r="A193" s="89"/>
      <c r="B193" s="89"/>
      <c r="C193" s="89">
        <v>64</v>
      </c>
      <c r="D193" s="89">
        <v>1705072</v>
      </c>
      <c r="E193" s="89" t="s">
        <v>20</v>
      </c>
      <c r="F193" s="89">
        <v>0.37880000000000003</v>
      </c>
      <c r="G193" s="89">
        <v>0.62119999999999997</v>
      </c>
      <c r="H193" s="89" t="s">
        <v>31</v>
      </c>
      <c r="I193" s="89" t="b">
        <v>0</v>
      </c>
      <c r="J193" s="89"/>
      <c r="K193" s="89"/>
    </row>
    <row r="194" spans="1:11" x14ac:dyDescent="0.3">
      <c r="A194" s="89"/>
      <c r="B194" s="89"/>
      <c r="C194" s="89">
        <v>130</v>
      </c>
      <c r="D194" s="89">
        <v>1705153</v>
      </c>
      <c r="E194" s="89" t="s">
        <v>20</v>
      </c>
      <c r="F194" s="89">
        <v>0.37740000000000001</v>
      </c>
      <c r="G194" s="89">
        <v>0.62260000000000004</v>
      </c>
      <c r="H194" s="89" t="s">
        <v>41</v>
      </c>
      <c r="I194" s="89" t="b">
        <v>0</v>
      </c>
      <c r="J194" s="89"/>
      <c r="K194" s="89"/>
    </row>
    <row r="195" spans="1:11" x14ac:dyDescent="0.3">
      <c r="A195" s="89"/>
      <c r="B195" s="89"/>
      <c r="C195" s="89">
        <v>289</v>
      </c>
      <c r="D195" s="89">
        <v>1705388</v>
      </c>
      <c r="E195" s="89" t="s">
        <v>20</v>
      </c>
      <c r="F195" s="89">
        <v>0.37730000000000002</v>
      </c>
      <c r="G195" s="89">
        <v>0.62270000000000003</v>
      </c>
      <c r="H195" s="89" t="s">
        <v>31</v>
      </c>
      <c r="I195" s="89" t="b">
        <v>0</v>
      </c>
      <c r="J195" s="89"/>
      <c r="K195" s="89"/>
    </row>
    <row r="196" spans="1:11" x14ac:dyDescent="0.3">
      <c r="A196" s="89"/>
      <c r="B196" s="89"/>
      <c r="C196" s="89">
        <v>163</v>
      </c>
      <c r="D196" s="89">
        <v>2303218</v>
      </c>
      <c r="E196" s="89" t="s">
        <v>20</v>
      </c>
      <c r="F196" s="89">
        <v>0.37269999999999998</v>
      </c>
      <c r="G196" s="89">
        <v>0.62729999999999997</v>
      </c>
      <c r="H196" s="89" t="s">
        <v>31</v>
      </c>
      <c r="I196" s="89" t="b">
        <v>0</v>
      </c>
      <c r="J196" s="89"/>
      <c r="K196" s="89"/>
    </row>
    <row r="197" spans="1:11" x14ac:dyDescent="0.3">
      <c r="A197" s="89"/>
      <c r="B197" s="89"/>
      <c r="C197" s="89">
        <v>136</v>
      </c>
      <c r="D197" s="89">
        <v>2303181</v>
      </c>
      <c r="E197" s="89" t="s">
        <v>20</v>
      </c>
      <c r="F197" s="89">
        <v>0.371</v>
      </c>
      <c r="G197" s="89">
        <v>0.629</v>
      </c>
      <c r="H197" s="89" t="s">
        <v>31</v>
      </c>
      <c r="I197" s="89" t="b">
        <v>0</v>
      </c>
      <c r="J197" s="89"/>
      <c r="K197" s="89"/>
    </row>
    <row r="198" spans="1:11" x14ac:dyDescent="0.3">
      <c r="A198" s="89"/>
      <c r="B198" s="89"/>
      <c r="C198" s="89">
        <v>24</v>
      </c>
      <c r="D198" s="89">
        <v>2401030</v>
      </c>
      <c r="E198" s="89" t="s">
        <v>20</v>
      </c>
      <c r="F198" s="89">
        <v>0.36530000000000001</v>
      </c>
      <c r="G198" s="89">
        <v>0.63470000000000004</v>
      </c>
      <c r="H198" s="89" t="s">
        <v>33</v>
      </c>
      <c r="I198" s="89" t="b">
        <v>0</v>
      </c>
      <c r="J198" s="89"/>
      <c r="K198" s="89"/>
    </row>
    <row r="199" spans="1:11" x14ac:dyDescent="0.3">
      <c r="A199" s="89"/>
      <c r="B199" s="89"/>
      <c r="C199" s="89">
        <v>16</v>
      </c>
      <c r="D199" s="89">
        <v>2303021</v>
      </c>
      <c r="E199" s="89" t="s">
        <v>20</v>
      </c>
      <c r="F199" s="89">
        <v>0.36459999999999998</v>
      </c>
      <c r="G199" s="89">
        <v>0.63539999999999996</v>
      </c>
      <c r="H199" s="89" t="s">
        <v>38</v>
      </c>
      <c r="I199" s="89" t="b">
        <v>0</v>
      </c>
      <c r="J199" s="89"/>
      <c r="K199" s="89"/>
    </row>
    <row r="200" spans="1:11" x14ac:dyDescent="0.3">
      <c r="A200" s="89"/>
      <c r="B200" s="89"/>
      <c r="C200" s="89">
        <v>137</v>
      </c>
      <c r="D200" s="89">
        <v>1705160</v>
      </c>
      <c r="E200" s="89" t="s">
        <v>20</v>
      </c>
      <c r="F200" s="89">
        <v>0.3644</v>
      </c>
      <c r="G200" s="89">
        <v>0.63560000000000005</v>
      </c>
      <c r="H200" s="89" t="s">
        <v>31</v>
      </c>
      <c r="I200" s="89" t="b">
        <v>0</v>
      </c>
      <c r="J200" s="89"/>
      <c r="K200" s="89"/>
    </row>
    <row r="201" spans="1:11" x14ac:dyDescent="0.3">
      <c r="A201" s="89"/>
      <c r="B201" s="89"/>
      <c r="C201" s="89">
        <v>69</v>
      </c>
      <c r="D201" s="89">
        <v>2404095</v>
      </c>
      <c r="E201" s="89" t="s">
        <v>20</v>
      </c>
      <c r="F201" s="89">
        <v>0.3629</v>
      </c>
      <c r="G201" s="89">
        <v>0.6371</v>
      </c>
      <c r="H201" s="89" t="s">
        <v>28</v>
      </c>
      <c r="I201" s="89" t="b">
        <v>0</v>
      </c>
      <c r="J201" s="89"/>
      <c r="K201" s="89"/>
    </row>
    <row r="202" spans="1:11" x14ac:dyDescent="0.3">
      <c r="A202" s="89"/>
      <c r="B202" s="89"/>
      <c r="C202" s="89">
        <v>236</v>
      </c>
      <c r="D202" s="89">
        <v>2303307</v>
      </c>
      <c r="E202" s="89" t="s">
        <v>20</v>
      </c>
      <c r="F202" s="89">
        <v>0.36259999999999998</v>
      </c>
      <c r="G202" s="89">
        <v>0.63739999999999997</v>
      </c>
      <c r="H202" s="89" t="s">
        <v>31</v>
      </c>
      <c r="I202" s="89" t="b">
        <v>0</v>
      </c>
      <c r="J202" s="89"/>
      <c r="K202" s="89"/>
    </row>
    <row r="203" spans="1:11" x14ac:dyDescent="0.3">
      <c r="A203" s="89"/>
      <c r="B203" s="89"/>
      <c r="C203" s="89">
        <v>30</v>
      </c>
      <c r="D203" s="89">
        <v>1706038</v>
      </c>
      <c r="E203" s="89" t="s">
        <v>20</v>
      </c>
      <c r="F203" s="89">
        <v>0.36220000000000002</v>
      </c>
      <c r="G203" s="89">
        <v>0.63780000000000003</v>
      </c>
      <c r="H203" s="89" t="s">
        <v>31</v>
      </c>
      <c r="I203" s="89" t="b">
        <v>0</v>
      </c>
      <c r="J203" s="89"/>
      <c r="K203" s="89"/>
    </row>
    <row r="204" spans="1:11" x14ac:dyDescent="0.3">
      <c r="A204" s="89"/>
      <c r="B204" s="89"/>
      <c r="C204" s="89">
        <v>228</v>
      </c>
      <c r="D204" s="89">
        <v>1706284</v>
      </c>
      <c r="E204" s="89" t="s">
        <v>20</v>
      </c>
      <c r="F204" s="89">
        <v>0.36099999999999999</v>
      </c>
      <c r="G204" s="89">
        <v>0.63900000000000001</v>
      </c>
      <c r="H204" s="89" t="s">
        <v>31</v>
      </c>
      <c r="I204" s="89" t="b">
        <v>0</v>
      </c>
      <c r="J204" s="89"/>
      <c r="K204" s="89"/>
    </row>
    <row r="205" spans="1:11" x14ac:dyDescent="0.3">
      <c r="A205" s="89"/>
      <c r="B205" s="89"/>
      <c r="C205" s="89">
        <v>159</v>
      </c>
      <c r="D205" s="89">
        <v>1705184</v>
      </c>
      <c r="E205" s="89" t="s">
        <v>20</v>
      </c>
      <c r="F205" s="89">
        <v>0.35709999999999997</v>
      </c>
      <c r="G205" s="89">
        <v>0.64290000000000003</v>
      </c>
      <c r="H205" s="89" t="s">
        <v>31</v>
      </c>
      <c r="I205" s="89" t="b">
        <v>0</v>
      </c>
      <c r="J205" s="89"/>
      <c r="K205" s="89"/>
    </row>
    <row r="206" spans="1:11" x14ac:dyDescent="0.3">
      <c r="A206" s="89"/>
      <c r="B206" s="89"/>
      <c r="C206" s="89">
        <v>205</v>
      </c>
      <c r="D206" s="89">
        <v>1706250</v>
      </c>
      <c r="E206" s="89" t="s">
        <v>20</v>
      </c>
      <c r="F206" s="89">
        <v>0.35699999999999998</v>
      </c>
      <c r="G206" s="89">
        <v>0.64300000000000002</v>
      </c>
      <c r="H206" s="89" t="s">
        <v>41</v>
      </c>
      <c r="I206" s="89" t="b">
        <v>0</v>
      </c>
      <c r="J206" s="89"/>
      <c r="K206" s="89"/>
    </row>
    <row r="207" spans="1:11" x14ac:dyDescent="0.3">
      <c r="A207" s="89"/>
      <c r="B207" s="89"/>
      <c r="C207" s="89">
        <v>176</v>
      </c>
      <c r="D207" s="89">
        <v>1706210</v>
      </c>
      <c r="E207" s="89" t="s">
        <v>20</v>
      </c>
      <c r="F207" s="89">
        <v>0.35570000000000002</v>
      </c>
      <c r="G207" s="89">
        <v>0.64429999999999998</v>
      </c>
      <c r="H207" s="89" t="s">
        <v>31</v>
      </c>
      <c r="I207" s="89" t="b">
        <v>0</v>
      </c>
      <c r="J207" s="89"/>
      <c r="K207" s="89"/>
    </row>
    <row r="208" spans="1:11" x14ac:dyDescent="0.3">
      <c r="A208" s="89"/>
      <c r="B208" s="89"/>
      <c r="C208" s="89">
        <v>245</v>
      </c>
      <c r="D208" s="89">
        <v>2303320</v>
      </c>
      <c r="E208" s="89" t="s">
        <v>20</v>
      </c>
      <c r="F208" s="89">
        <v>0.3553</v>
      </c>
      <c r="G208" s="89">
        <v>0.64470000000000005</v>
      </c>
      <c r="H208" s="89" t="s">
        <v>41</v>
      </c>
      <c r="I208" s="89" t="b">
        <v>0</v>
      </c>
      <c r="J208" s="89"/>
      <c r="K208" s="89"/>
    </row>
    <row r="209" spans="1:11" x14ac:dyDescent="0.3">
      <c r="A209" s="89"/>
      <c r="B209" s="89"/>
      <c r="C209" s="89">
        <v>173</v>
      </c>
      <c r="D209" s="89">
        <v>1706207</v>
      </c>
      <c r="E209" s="89" t="s">
        <v>20</v>
      </c>
      <c r="F209" s="89">
        <v>0.35420000000000001</v>
      </c>
      <c r="G209" s="89">
        <v>0.64580000000000004</v>
      </c>
      <c r="H209" s="89" t="s">
        <v>31</v>
      </c>
      <c r="I209" s="89" t="b">
        <v>0</v>
      </c>
      <c r="J209" s="89"/>
      <c r="K209" s="89"/>
    </row>
    <row r="210" spans="1:11" x14ac:dyDescent="0.3">
      <c r="A210" s="89"/>
      <c r="B210" s="89"/>
      <c r="C210" s="89">
        <v>199</v>
      </c>
      <c r="D210" s="89">
        <v>2303260</v>
      </c>
      <c r="E210" s="89" t="s">
        <v>20</v>
      </c>
      <c r="F210" s="89">
        <v>0.35310000000000002</v>
      </c>
      <c r="G210" s="89">
        <v>0.64690000000000003</v>
      </c>
      <c r="H210" s="89" t="s">
        <v>38</v>
      </c>
      <c r="I210" s="89" t="b">
        <v>0</v>
      </c>
      <c r="J210" s="89"/>
      <c r="K210" s="89"/>
    </row>
    <row r="211" spans="1:11" x14ac:dyDescent="0.3">
      <c r="A211" s="89"/>
      <c r="B211" s="89"/>
      <c r="C211" s="89">
        <v>229</v>
      </c>
      <c r="D211" s="89">
        <v>1705274</v>
      </c>
      <c r="E211" s="89" t="s">
        <v>20</v>
      </c>
      <c r="F211" s="89">
        <v>0.35270000000000001</v>
      </c>
      <c r="G211" s="89">
        <v>0.64729999999999999</v>
      </c>
      <c r="H211" s="89" t="s">
        <v>26</v>
      </c>
      <c r="I211" s="89" t="b">
        <v>0</v>
      </c>
      <c r="J211" s="89"/>
      <c r="K211" s="89"/>
    </row>
    <row r="212" spans="1:11" x14ac:dyDescent="0.3">
      <c r="A212" s="89"/>
      <c r="B212" s="89"/>
      <c r="C212" s="89">
        <v>43</v>
      </c>
      <c r="D212" s="89">
        <v>1706056</v>
      </c>
      <c r="E212" s="89" t="s">
        <v>20</v>
      </c>
      <c r="F212" s="89">
        <v>0.35139999999999999</v>
      </c>
      <c r="G212" s="89">
        <v>0.64859999999999995</v>
      </c>
      <c r="H212" s="89" t="s">
        <v>31</v>
      </c>
      <c r="I212" s="89" t="b">
        <v>0</v>
      </c>
      <c r="J212" s="89"/>
      <c r="K212" s="89"/>
    </row>
    <row r="213" spans="1:11" x14ac:dyDescent="0.3">
      <c r="A213" s="89"/>
      <c r="B213" s="89"/>
      <c r="C213" s="89">
        <v>46</v>
      </c>
      <c r="D213" s="89">
        <v>2303055</v>
      </c>
      <c r="E213" s="89" t="s">
        <v>20</v>
      </c>
      <c r="F213" s="89">
        <v>0.3508</v>
      </c>
      <c r="G213" s="89">
        <v>0.6492</v>
      </c>
      <c r="H213" s="89" t="s">
        <v>26</v>
      </c>
      <c r="I213" s="89" t="b">
        <v>0</v>
      </c>
      <c r="J213" s="89"/>
      <c r="K213" s="89"/>
    </row>
    <row r="214" spans="1:11" x14ac:dyDescent="0.3">
      <c r="A214" s="89"/>
      <c r="B214" s="89"/>
      <c r="C214" s="89">
        <v>14</v>
      </c>
      <c r="D214" s="89">
        <v>1705015</v>
      </c>
      <c r="E214" s="89" t="s">
        <v>20</v>
      </c>
      <c r="F214" s="89">
        <v>0.34570000000000001</v>
      </c>
      <c r="G214" s="89">
        <v>0.65429999999999999</v>
      </c>
      <c r="H214" s="89" t="s">
        <v>31</v>
      </c>
      <c r="I214" s="89" t="b">
        <v>0</v>
      </c>
      <c r="J214" s="89"/>
      <c r="K214" s="89"/>
    </row>
    <row r="215" spans="1:11" x14ac:dyDescent="0.3">
      <c r="A215" s="89"/>
      <c r="B215" s="89"/>
      <c r="C215" s="89">
        <v>207</v>
      </c>
      <c r="D215" s="89">
        <v>1706252</v>
      </c>
      <c r="E215" s="89" t="s">
        <v>20</v>
      </c>
      <c r="F215" s="89">
        <v>0.3453</v>
      </c>
      <c r="G215" s="89">
        <v>0.65469999999999995</v>
      </c>
      <c r="H215" s="89" t="s">
        <v>31</v>
      </c>
      <c r="I215" s="89" t="b">
        <v>0</v>
      </c>
      <c r="J215" s="89"/>
      <c r="K215" s="89"/>
    </row>
    <row r="216" spans="1:11" x14ac:dyDescent="0.3">
      <c r="A216" s="89"/>
      <c r="B216" s="89"/>
      <c r="C216" s="89">
        <v>195</v>
      </c>
      <c r="D216" s="89">
        <v>2303256</v>
      </c>
      <c r="E216" s="89" t="s">
        <v>20</v>
      </c>
      <c r="F216" s="89">
        <v>0.34499999999999997</v>
      </c>
      <c r="G216" s="89">
        <v>0.65500000000000003</v>
      </c>
      <c r="H216" s="89" t="s">
        <v>31</v>
      </c>
      <c r="I216" s="89" t="b">
        <v>0</v>
      </c>
      <c r="J216" s="89"/>
      <c r="K216" s="89"/>
    </row>
    <row r="217" spans="1:11" x14ac:dyDescent="0.3">
      <c r="A217" s="89"/>
      <c r="B217" s="89"/>
      <c r="C217" s="89">
        <v>282</v>
      </c>
      <c r="D217" s="89">
        <v>2303360</v>
      </c>
      <c r="E217" s="89" t="s">
        <v>20</v>
      </c>
      <c r="F217" s="89">
        <v>0.34289999999999998</v>
      </c>
      <c r="G217" s="89">
        <v>0.65710000000000002</v>
      </c>
      <c r="H217" s="89" t="s">
        <v>33</v>
      </c>
      <c r="I217" s="89" t="b">
        <v>0</v>
      </c>
      <c r="J217" s="89"/>
      <c r="K217" s="89"/>
    </row>
    <row r="218" spans="1:11" x14ac:dyDescent="0.3">
      <c r="A218" s="89"/>
      <c r="B218" s="89"/>
      <c r="C218" s="89">
        <v>273</v>
      </c>
      <c r="D218" s="89">
        <v>2303351</v>
      </c>
      <c r="E218" s="89" t="s">
        <v>20</v>
      </c>
      <c r="F218" s="89">
        <v>0.33889999999999998</v>
      </c>
      <c r="G218" s="89">
        <v>0.66110000000000002</v>
      </c>
      <c r="H218" s="89" t="s">
        <v>47</v>
      </c>
      <c r="I218" s="89" t="b">
        <v>0</v>
      </c>
      <c r="J218" s="89"/>
      <c r="K218" s="89"/>
    </row>
    <row r="219" spans="1:11" x14ac:dyDescent="0.3">
      <c r="A219" s="89"/>
      <c r="B219" s="89"/>
      <c r="C219" s="89">
        <v>96</v>
      </c>
      <c r="D219" s="89">
        <v>1706118</v>
      </c>
      <c r="E219" s="89" t="s">
        <v>20</v>
      </c>
      <c r="F219" s="89">
        <v>0.3367</v>
      </c>
      <c r="G219" s="89">
        <v>0.6633</v>
      </c>
      <c r="H219" s="89" t="s">
        <v>47</v>
      </c>
      <c r="I219" s="89" t="b">
        <v>0</v>
      </c>
      <c r="J219" s="89"/>
      <c r="K219" s="89"/>
    </row>
    <row r="220" spans="1:11" x14ac:dyDescent="0.3">
      <c r="A220" s="89"/>
      <c r="B220" s="89"/>
      <c r="C220" s="89">
        <v>94</v>
      </c>
      <c r="D220" s="89">
        <v>2401121</v>
      </c>
      <c r="E220" s="89" t="s">
        <v>20</v>
      </c>
      <c r="F220" s="89">
        <v>0.33439999999999998</v>
      </c>
      <c r="G220" s="89">
        <v>0.66559999999999997</v>
      </c>
      <c r="H220" s="89" t="s">
        <v>31</v>
      </c>
      <c r="I220" s="89" t="b">
        <v>0</v>
      </c>
      <c r="J220" s="89"/>
      <c r="K220" s="89"/>
    </row>
    <row r="221" spans="1:11" x14ac:dyDescent="0.3">
      <c r="A221" s="89"/>
      <c r="B221" s="89"/>
      <c r="C221" s="89">
        <v>182</v>
      </c>
      <c r="D221" s="89">
        <v>2303240</v>
      </c>
      <c r="E221" s="89" t="s">
        <v>20</v>
      </c>
      <c r="F221" s="89">
        <v>0.33410000000000001</v>
      </c>
      <c r="G221" s="89">
        <v>0.66590000000000005</v>
      </c>
      <c r="H221" s="89" t="s">
        <v>31</v>
      </c>
      <c r="I221" s="89" t="b">
        <v>0</v>
      </c>
      <c r="J221" s="89"/>
      <c r="K221" s="89"/>
    </row>
    <row r="222" spans="1:11" x14ac:dyDescent="0.3">
      <c r="A222" s="89"/>
      <c r="B222" s="89"/>
      <c r="C222" s="89">
        <v>195</v>
      </c>
      <c r="D222" s="89">
        <v>1705232</v>
      </c>
      <c r="E222" s="89" t="s">
        <v>20</v>
      </c>
      <c r="F222" s="89">
        <v>0.33139999999999997</v>
      </c>
      <c r="G222" s="89">
        <v>0.66859999999999997</v>
      </c>
      <c r="H222" s="89" t="s">
        <v>31</v>
      </c>
      <c r="I222" s="89" t="b">
        <v>0</v>
      </c>
      <c r="J222" s="89"/>
      <c r="K222" s="89"/>
    </row>
    <row r="223" spans="1:11" x14ac:dyDescent="0.3">
      <c r="A223" s="89"/>
      <c r="B223" s="89"/>
      <c r="C223" s="89">
        <v>211</v>
      </c>
      <c r="D223" s="89">
        <v>2303274</v>
      </c>
      <c r="E223" s="89" t="s">
        <v>20</v>
      </c>
      <c r="F223" s="89">
        <v>0.3286</v>
      </c>
      <c r="G223" s="89">
        <v>0.6714</v>
      </c>
      <c r="H223" s="89" t="s">
        <v>31</v>
      </c>
      <c r="I223" s="89" t="b">
        <v>0</v>
      </c>
      <c r="J223" s="89"/>
      <c r="K223" s="89"/>
    </row>
    <row r="224" spans="1:11" x14ac:dyDescent="0.3">
      <c r="A224" s="89"/>
      <c r="B224" s="89"/>
      <c r="C224" s="89">
        <v>88</v>
      </c>
      <c r="D224" s="89">
        <v>2303114</v>
      </c>
      <c r="E224" s="89" t="s">
        <v>20</v>
      </c>
      <c r="F224" s="89">
        <v>0.32850000000000001</v>
      </c>
      <c r="G224" s="89">
        <v>0.67149999999999999</v>
      </c>
      <c r="H224" s="89" t="s">
        <v>47</v>
      </c>
      <c r="I224" s="89" t="b">
        <v>0</v>
      </c>
      <c r="J224" s="89"/>
      <c r="K224" s="89"/>
    </row>
    <row r="225" spans="1:11" x14ac:dyDescent="0.3">
      <c r="A225" s="89"/>
      <c r="B225" s="89"/>
      <c r="C225" s="89">
        <v>91</v>
      </c>
      <c r="D225" s="89">
        <v>1706111</v>
      </c>
      <c r="E225" s="89" t="s">
        <v>20</v>
      </c>
      <c r="F225" s="89">
        <v>0.32719999999999999</v>
      </c>
      <c r="G225" s="89">
        <v>0.67279999999999995</v>
      </c>
      <c r="H225" s="89" t="s">
        <v>31</v>
      </c>
      <c r="I225" s="89" t="b">
        <v>0</v>
      </c>
      <c r="J225" s="89"/>
      <c r="K225" s="89"/>
    </row>
    <row r="226" spans="1:11" x14ac:dyDescent="0.3">
      <c r="A226" s="89"/>
      <c r="B226" s="89"/>
      <c r="C226" s="89">
        <v>184</v>
      </c>
      <c r="D226" s="89">
        <v>1706218</v>
      </c>
      <c r="E226" s="89" t="s">
        <v>20</v>
      </c>
      <c r="F226" s="89">
        <v>0.32429999999999998</v>
      </c>
      <c r="G226" s="89">
        <v>0.67569999999999997</v>
      </c>
      <c r="H226" s="89" t="s">
        <v>31</v>
      </c>
      <c r="I226" s="89" t="b">
        <v>0</v>
      </c>
      <c r="J226" s="89"/>
      <c r="K226" s="89"/>
    </row>
    <row r="227" spans="1:11" x14ac:dyDescent="0.3">
      <c r="A227" s="89"/>
      <c r="B227" s="89"/>
      <c r="C227" s="89">
        <v>202</v>
      </c>
      <c r="D227" s="89">
        <v>1705239</v>
      </c>
      <c r="E227" s="89" t="s">
        <v>20</v>
      </c>
      <c r="F227" s="89">
        <v>0.32340000000000002</v>
      </c>
      <c r="G227" s="89">
        <v>0.67659999999999998</v>
      </c>
      <c r="H227" s="89" t="s">
        <v>31</v>
      </c>
      <c r="I227" s="89" t="b">
        <v>0</v>
      </c>
      <c r="J227" s="89"/>
      <c r="K227" s="89"/>
    </row>
    <row r="228" spans="1:11" x14ac:dyDescent="0.3">
      <c r="A228" s="89"/>
      <c r="B228" s="89"/>
      <c r="C228" s="89">
        <v>199</v>
      </c>
      <c r="D228" s="89">
        <v>1706235</v>
      </c>
      <c r="E228" s="89" t="s">
        <v>20</v>
      </c>
      <c r="F228" s="89">
        <v>0.31879999999999997</v>
      </c>
      <c r="G228" s="89">
        <v>0.68120000000000003</v>
      </c>
      <c r="H228" s="89" t="s">
        <v>31</v>
      </c>
      <c r="I228" s="89" t="b">
        <v>0</v>
      </c>
      <c r="J228" s="89"/>
      <c r="K228" s="89"/>
    </row>
    <row r="229" spans="1:11" x14ac:dyDescent="0.3">
      <c r="A229" s="89"/>
      <c r="B229" s="89"/>
      <c r="C229" s="89">
        <v>30</v>
      </c>
      <c r="D229" s="89">
        <v>2401043</v>
      </c>
      <c r="E229" s="89" t="s">
        <v>20</v>
      </c>
      <c r="F229" s="89">
        <v>0.31830000000000003</v>
      </c>
      <c r="G229" s="89">
        <v>0.68169999999999997</v>
      </c>
      <c r="H229" s="89" t="s">
        <v>26</v>
      </c>
      <c r="I229" s="89" t="b">
        <v>0</v>
      </c>
      <c r="J229" s="89"/>
      <c r="K229" s="89"/>
    </row>
    <row r="230" spans="1:11" x14ac:dyDescent="0.3">
      <c r="A230" s="89"/>
      <c r="B230" s="89"/>
      <c r="C230" s="89">
        <v>167</v>
      </c>
      <c r="D230" s="89">
        <v>1706201</v>
      </c>
      <c r="E230" s="89" t="s">
        <v>20</v>
      </c>
      <c r="F230" s="89">
        <v>0.31730000000000003</v>
      </c>
      <c r="G230" s="89">
        <v>0.68269999999999997</v>
      </c>
      <c r="H230" s="89" t="s">
        <v>31</v>
      </c>
      <c r="I230" s="89" t="b">
        <v>0</v>
      </c>
      <c r="J230" s="89"/>
      <c r="K230" s="89"/>
    </row>
    <row r="231" spans="1:11" x14ac:dyDescent="0.3">
      <c r="A231" s="89"/>
      <c r="B231" s="89"/>
      <c r="C231" s="89">
        <v>178</v>
      </c>
      <c r="D231" s="89">
        <v>1705213</v>
      </c>
      <c r="E231" s="89" t="s">
        <v>20</v>
      </c>
      <c r="F231" s="89">
        <v>0.317</v>
      </c>
      <c r="G231" s="89">
        <v>0.68300000000000005</v>
      </c>
      <c r="H231" s="89" t="s">
        <v>52</v>
      </c>
      <c r="I231" s="89" t="b">
        <v>0</v>
      </c>
      <c r="J231" s="89"/>
      <c r="K231" s="89"/>
    </row>
    <row r="232" spans="1:11" x14ac:dyDescent="0.3">
      <c r="A232" s="89"/>
      <c r="B232" s="89"/>
      <c r="C232" s="89">
        <v>161</v>
      </c>
      <c r="D232" s="89">
        <v>1705187</v>
      </c>
      <c r="E232" s="89" t="s">
        <v>20</v>
      </c>
      <c r="F232" s="89">
        <v>0.31690000000000002</v>
      </c>
      <c r="G232" s="89">
        <v>0.68310000000000004</v>
      </c>
      <c r="H232" s="89" t="s">
        <v>35</v>
      </c>
      <c r="I232" s="89" t="b">
        <v>0</v>
      </c>
      <c r="J232" s="89"/>
      <c r="K232" s="89"/>
    </row>
    <row r="233" spans="1:11" x14ac:dyDescent="0.3">
      <c r="A233" s="89"/>
      <c r="B233" s="89"/>
      <c r="C233" s="89">
        <v>259</v>
      </c>
      <c r="D233" s="89">
        <v>1706332</v>
      </c>
      <c r="E233" s="89" t="s">
        <v>20</v>
      </c>
      <c r="F233" s="89">
        <v>0.31630000000000003</v>
      </c>
      <c r="G233" s="89">
        <v>0.68369999999999997</v>
      </c>
      <c r="H233" s="89" t="s">
        <v>31</v>
      </c>
      <c r="I233" s="89" t="b">
        <v>0</v>
      </c>
      <c r="J233" s="89"/>
      <c r="K233" s="89"/>
    </row>
    <row r="234" spans="1:11" x14ac:dyDescent="0.3">
      <c r="A234" s="89"/>
      <c r="B234" s="89"/>
      <c r="C234" s="89">
        <v>223</v>
      </c>
      <c r="D234" s="89">
        <v>2303293</v>
      </c>
      <c r="E234" s="89" t="s">
        <v>20</v>
      </c>
      <c r="F234" s="89">
        <v>0.31440000000000001</v>
      </c>
      <c r="G234" s="89">
        <v>0.68559999999999999</v>
      </c>
      <c r="H234" s="89" t="s">
        <v>47</v>
      </c>
      <c r="I234" s="89" t="b">
        <v>0</v>
      </c>
      <c r="J234" s="89"/>
      <c r="K234" s="89"/>
    </row>
    <row r="235" spans="1:11" x14ac:dyDescent="0.3">
      <c r="A235" s="89"/>
      <c r="B235" s="89"/>
      <c r="C235" s="89">
        <v>219</v>
      </c>
      <c r="D235" s="89">
        <v>2303287</v>
      </c>
      <c r="E235" s="89" t="s">
        <v>20</v>
      </c>
      <c r="F235" s="89">
        <v>0.31</v>
      </c>
      <c r="G235" s="89">
        <v>0.69</v>
      </c>
      <c r="H235" s="89" t="s">
        <v>41</v>
      </c>
      <c r="I235" s="89" t="b">
        <v>0</v>
      </c>
      <c r="J235" s="89"/>
      <c r="K235" s="89"/>
    </row>
    <row r="236" spans="1:11" x14ac:dyDescent="0.3">
      <c r="A236" s="89"/>
      <c r="B236" s="89"/>
      <c r="C236" s="89">
        <v>263</v>
      </c>
      <c r="D236" s="89">
        <v>1705329</v>
      </c>
      <c r="E236" s="89" t="s">
        <v>20</v>
      </c>
      <c r="F236" s="89">
        <v>0.30869999999999997</v>
      </c>
      <c r="G236" s="89">
        <v>0.69130000000000003</v>
      </c>
      <c r="H236" s="89" t="s">
        <v>31</v>
      </c>
      <c r="I236" s="89" t="b">
        <v>0</v>
      </c>
      <c r="J236" s="89"/>
      <c r="K236" s="89"/>
    </row>
    <row r="237" spans="1:11" x14ac:dyDescent="0.3">
      <c r="A237" s="89"/>
      <c r="B237" s="89"/>
      <c r="C237" s="89">
        <v>244</v>
      </c>
      <c r="D237" s="89">
        <v>2303319</v>
      </c>
      <c r="E237" s="89" t="s">
        <v>20</v>
      </c>
      <c r="F237" s="89">
        <v>0.30809999999999998</v>
      </c>
      <c r="G237" s="89">
        <v>0.69189999999999996</v>
      </c>
      <c r="H237" s="89" t="s">
        <v>38</v>
      </c>
      <c r="I237" s="89" t="b">
        <v>0</v>
      </c>
      <c r="J237" s="89"/>
      <c r="K237" s="89"/>
    </row>
    <row r="238" spans="1:11" x14ac:dyDescent="0.3">
      <c r="A238" s="89"/>
      <c r="B238" s="89"/>
      <c r="C238" s="89">
        <v>294</v>
      </c>
      <c r="D238" s="89">
        <v>1705394</v>
      </c>
      <c r="E238" s="89" t="s">
        <v>20</v>
      </c>
      <c r="F238" s="89">
        <v>0.30570000000000003</v>
      </c>
      <c r="G238" s="89">
        <v>0.69430000000000003</v>
      </c>
      <c r="H238" s="89" t="s">
        <v>33</v>
      </c>
      <c r="I238" s="89" t="b">
        <v>0</v>
      </c>
      <c r="J238" s="89"/>
      <c r="K238" s="89"/>
    </row>
    <row r="239" spans="1:11" x14ac:dyDescent="0.3">
      <c r="A239" s="89"/>
      <c r="B239" s="89"/>
      <c r="C239" s="89">
        <v>14</v>
      </c>
      <c r="D239" s="89">
        <v>2401020</v>
      </c>
      <c r="E239" s="89" t="s">
        <v>20</v>
      </c>
      <c r="F239" s="89">
        <v>0.3054</v>
      </c>
      <c r="G239" s="89">
        <v>0.6946</v>
      </c>
      <c r="H239" s="89" t="s">
        <v>48</v>
      </c>
      <c r="I239" s="89" t="b">
        <v>0</v>
      </c>
      <c r="J239" s="89"/>
      <c r="K239" s="89"/>
    </row>
    <row r="240" spans="1:11" x14ac:dyDescent="0.3">
      <c r="A240" s="89"/>
      <c r="B240" s="89"/>
      <c r="C240" s="89">
        <v>60</v>
      </c>
      <c r="D240" s="89">
        <v>2401076</v>
      </c>
      <c r="E240" s="89" t="s">
        <v>20</v>
      </c>
      <c r="F240" s="89">
        <v>0.30180000000000001</v>
      </c>
      <c r="G240" s="89">
        <v>0.69820000000000004</v>
      </c>
      <c r="H240" s="89" t="s">
        <v>31</v>
      </c>
      <c r="I240" s="89" t="b">
        <v>0</v>
      </c>
      <c r="J240" s="89"/>
      <c r="K240" s="89"/>
    </row>
    <row r="241" spans="1:11" x14ac:dyDescent="0.3">
      <c r="A241" s="89"/>
      <c r="B241" s="89"/>
      <c r="C241" s="89">
        <v>202</v>
      </c>
      <c r="D241" s="89">
        <v>1706242</v>
      </c>
      <c r="E241" s="89" t="s">
        <v>20</v>
      </c>
      <c r="F241" s="89">
        <v>0.30149999999999999</v>
      </c>
      <c r="G241" s="89">
        <v>0.69850000000000001</v>
      </c>
      <c r="H241" s="89" t="s">
        <v>31</v>
      </c>
      <c r="I241" s="89" t="b">
        <v>0</v>
      </c>
      <c r="J241" s="89"/>
      <c r="K241" s="89"/>
    </row>
    <row r="242" spans="1:11" x14ac:dyDescent="0.3">
      <c r="A242" s="89"/>
      <c r="B242" s="89"/>
      <c r="C242" s="89">
        <v>208</v>
      </c>
      <c r="D242" s="89">
        <v>1706253</v>
      </c>
      <c r="E242" s="89" t="s">
        <v>20</v>
      </c>
      <c r="F242" s="89">
        <v>0.3014</v>
      </c>
      <c r="G242" s="89">
        <v>0.6986</v>
      </c>
      <c r="H242" s="89" t="s">
        <v>52</v>
      </c>
      <c r="I242" s="89" t="b">
        <v>0</v>
      </c>
      <c r="J242" s="89"/>
      <c r="K242" s="89"/>
    </row>
    <row r="243" spans="1:11" x14ac:dyDescent="0.3">
      <c r="A243" s="89"/>
      <c r="B243" s="89"/>
      <c r="C243" s="89">
        <v>98</v>
      </c>
      <c r="D243" s="89">
        <v>1705115</v>
      </c>
      <c r="E243" s="89" t="s">
        <v>20</v>
      </c>
      <c r="F243" s="89">
        <v>0.2979</v>
      </c>
      <c r="G243" s="89">
        <v>0.70209999999999995</v>
      </c>
      <c r="H243" s="89" t="s">
        <v>31</v>
      </c>
      <c r="I243" s="89" t="b">
        <v>0</v>
      </c>
      <c r="J243" s="89"/>
      <c r="K243" s="89"/>
    </row>
    <row r="244" spans="1:11" x14ac:dyDescent="0.3">
      <c r="A244" s="89"/>
      <c r="B244" s="89"/>
      <c r="C244" s="89">
        <v>193</v>
      </c>
      <c r="D244" s="89">
        <v>1706229</v>
      </c>
      <c r="E244" s="89" t="s">
        <v>20</v>
      </c>
      <c r="F244" s="89">
        <v>0.29680000000000001</v>
      </c>
      <c r="G244" s="89">
        <v>0.70320000000000005</v>
      </c>
      <c r="H244" s="89" t="s">
        <v>31</v>
      </c>
      <c r="I244" s="89" t="b">
        <v>0</v>
      </c>
      <c r="J244" s="89"/>
      <c r="K244" s="89"/>
    </row>
    <row r="245" spans="1:11" x14ac:dyDescent="0.3">
      <c r="A245" s="89"/>
      <c r="B245" s="89"/>
      <c r="C245" s="89">
        <v>76</v>
      </c>
      <c r="D245" s="89">
        <v>2404107</v>
      </c>
      <c r="E245" s="89" t="s">
        <v>20</v>
      </c>
      <c r="F245" s="89">
        <v>0.29630000000000001</v>
      </c>
      <c r="G245" s="89">
        <v>0.70369999999999999</v>
      </c>
      <c r="H245" s="89" t="s">
        <v>47</v>
      </c>
      <c r="I245" s="89" t="b">
        <v>0</v>
      </c>
      <c r="J245" s="89"/>
      <c r="K245" s="89"/>
    </row>
    <row r="246" spans="1:11" x14ac:dyDescent="0.3">
      <c r="A246" s="89"/>
      <c r="B246" s="89"/>
      <c r="C246" s="89">
        <v>116</v>
      </c>
      <c r="D246" s="89">
        <v>1705136</v>
      </c>
      <c r="E246" s="89" t="s">
        <v>20</v>
      </c>
      <c r="F246" s="89">
        <v>0.2918</v>
      </c>
      <c r="G246" s="89">
        <v>0.70820000000000005</v>
      </c>
      <c r="H246" s="89" t="s">
        <v>31</v>
      </c>
      <c r="I246" s="89" t="b">
        <v>0</v>
      </c>
      <c r="J246" s="89"/>
      <c r="K246" s="89"/>
    </row>
    <row r="247" spans="1:11" x14ac:dyDescent="0.3">
      <c r="A247" s="89"/>
      <c r="B247" s="89"/>
      <c r="C247" s="89">
        <v>102</v>
      </c>
      <c r="D247" s="89">
        <v>2401131</v>
      </c>
      <c r="E247" s="89" t="s">
        <v>20</v>
      </c>
      <c r="F247" s="89">
        <v>0.29149999999999998</v>
      </c>
      <c r="G247" s="89">
        <v>0.70850000000000002</v>
      </c>
      <c r="H247" s="89" t="s">
        <v>31</v>
      </c>
      <c r="I247" s="89" t="b">
        <v>0</v>
      </c>
      <c r="J247" s="89"/>
      <c r="K247" s="89"/>
    </row>
    <row r="248" spans="1:11" x14ac:dyDescent="0.3">
      <c r="A248" s="89"/>
      <c r="B248" s="89"/>
      <c r="C248" s="89">
        <v>217</v>
      </c>
      <c r="D248" s="89">
        <v>1706270</v>
      </c>
      <c r="E248" s="89" t="s">
        <v>20</v>
      </c>
      <c r="F248" s="89">
        <v>0.2913</v>
      </c>
      <c r="G248" s="89">
        <v>0.7087</v>
      </c>
      <c r="H248" s="89" t="s">
        <v>47</v>
      </c>
      <c r="I248" s="89" t="b">
        <v>0</v>
      </c>
      <c r="J248" s="89"/>
      <c r="K248" s="89"/>
    </row>
    <row r="249" spans="1:11" x14ac:dyDescent="0.3">
      <c r="A249" s="89"/>
      <c r="B249" s="89"/>
      <c r="C249" s="89">
        <v>201</v>
      </c>
      <c r="D249" s="89">
        <v>1706240</v>
      </c>
      <c r="E249" s="89" t="s">
        <v>20</v>
      </c>
      <c r="F249" s="89">
        <v>0.28889999999999999</v>
      </c>
      <c r="G249" s="89">
        <v>0.71109999999999995</v>
      </c>
      <c r="H249" s="89" t="s">
        <v>47</v>
      </c>
      <c r="I249" s="89" t="b">
        <v>0</v>
      </c>
      <c r="J249" s="89"/>
      <c r="K249" s="89"/>
    </row>
    <row r="250" spans="1:11" x14ac:dyDescent="0.3">
      <c r="A250" s="89"/>
      <c r="B250" s="89"/>
      <c r="C250" s="89">
        <v>119</v>
      </c>
      <c r="D250" s="89">
        <v>1705139</v>
      </c>
      <c r="E250" s="89" t="s">
        <v>20</v>
      </c>
      <c r="F250" s="89">
        <v>0.28870000000000001</v>
      </c>
      <c r="G250" s="89">
        <v>0.71130000000000004</v>
      </c>
      <c r="H250" s="89" t="s">
        <v>31</v>
      </c>
      <c r="I250" s="89" t="b">
        <v>0</v>
      </c>
      <c r="J250" s="89"/>
      <c r="K250" s="89"/>
    </row>
    <row r="251" spans="1:11" x14ac:dyDescent="0.3">
      <c r="A251" s="89"/>
      <c r="B251" s="89"/>
      <c r="C251" s="89">
        <v>221</v>
      </c>
      <c r="D251" s="89">
        <v>1706275</v>
      </c>
      <c r="E251" s="89" t="s">
        <v>20</v>
      </c>
      <c r="F251" s="89">
        <v>0.28870000000000001</v>
      </c>
      <c r="G251" s="89">
        <v>0.71130000000000004</v>
      </c>
      <c r="H251" s="89" t="s">
        <v>31</v>
      </c>
      <c r="I251" s="89" t="b">
        <v>0</v>
      </c>
      <c r="J251" s="89"/>
      <c r="K251" s="89"/>
    </row>
    <row r="252" spans="1:11" x14ac:dyDescent="0.3">
      <c r="A252" s="89"/>
      <c r="B252" s="89"/>
      <c r="C252" s="89">
        <v>102</v>
      </c>
      <c r="D252" s="89">
        <v>2404141</v>
      </c>
      <c r="E252" s="89" t="s">
        <v>20</v>
      </c>
      <c r="F252" s="89">
        <v>0.28839999999999999</v>
      </c>
      <c r="G252" s="89">
        <v>0.71160000000000001</v>
      </c>
      <c r="H252" s="89" t="s">
        <v>53</v>
      </c>
      <c r="I252" s="89" t="b">
        <v>0</v>
      </c>
      <c r="J252" s="89"/>
      <c r="K252" s="89"/>
    </row>
    <row r="253" spans="1:11" x14ac:dyDescent="0.3">
      <c r="A253" s="89"/>
      <c r="B253" s="89"/>
      <c r="C253" s="89">
        <v>4</v>
      </c>
      <c r="D253" s="89">
        <v>1705004</v>
      </c>
      <c r="E253" s="89" t="s">
        <v>20</v>
      </c>
      <c r="F253" s="89">
        <v>0.28749999999999998</v>
      </c>
      <c r="G253" s="89">
        <v>0.71250000000000002</v>
      </c>
      <c r="H253" s="89" t="s">
        <v>31</v>
      </c>
      <c r="I253" s="89" t="b">
        <v>0</v>
      </c>
      <c r="J253" s="89"/>
      <c r="K253" s="89"/>
    </row>
    <row r="254" spans="1:11" x14ac:dyDescent="0.3">
      <c r="A254" s="89"/>
      <c r="B254" s="89"/>
      <c r="C254" s="89">
        <v>8</v>
      </c>
      <c r="D254" s="89">
        <v>2404012</v>
      </c>
      <c r="E254" s="89" t="s">
        <v>20</v>
      </c>
      <c r="F254" s="89">
        <v>0.2868</v>
      </c>
      <c r="G254" s="89">
        <v>0.71319999999999995</v>
      </c>
      <c r="H254" s="89" t="s">
        <v>28</v>
      </c>
      <c r="I254" s="89" t="b">
        <v>0</v>
      </c>
      <c r="J254" s="89"/>
      <c r="K254" s="89"/>
    </row>
    <row r="255" spans="1:11" x14ac:dyDescent="0.3">
      <c r="A255" s="89"/>
      <c r="B255" s="89"/>
      <c r="C255" s="89">
        <v>155</v>
      </c>
      <c r="D255" s="89">
        <v>1705180</v>
      </c>
      <c r="E255" s="89" t="s">
        <v>20</v>
      </c>
      <c r="F255" s="89">
        <v>0.28620000000000001</v>
      </c>
      <c r="G255" s="89">
        <v>0.71379999999999999</v>
      </c>
      <c r="H255" s="89" t="s">
        <v>31</v>
      </c>
      <c r="I255" s="89" t="b">
        <v>0</v>
      </c>
      <c r="J255" s="89"/>
      <c r="K255" s="89"/>
    </row>
    <row r="256" spans="1:11" x14ac:dyDescent="0.3">
      <c r="A256" s="89"/>
      <c r="B256" s="89"/>
      <c r="C256" s="89">
        <v>60</v>
      </c>
      <c r="D256" s="89">
        <v>2303073</v>
      </c>
      <c r="E256" s="89" t="s">
        <v>20</v>
      </c>
      <c r="F256" s="89">
        <v>0.28620000000000001</v>
      </c>
      <c r="G256" s="89">
        <v>0.71379999999999999</v>
      </c>
      <c r="H256" s="89" t="s">
        <v>33</v>
      </c>
      <c r="I256" s="89" t="b">
        <v>0</v>
      </c>
      <c r="J256" s="89"/>
      <c r="K256" s="89"/>
    </row>
    <row r="257" spans="1:11" x14ac:dyDescent="0.3">
      <c r="A257" s="89"/>
      <c r="B257" s="89"/>
      <c r="C257" s="89">
        <v>116</v>
      </c>
      <c r="D257" s="89">
        <v>1706142</v>
      </c>
      <c r="E257" s="89" t="s">
        <v>20</v>
      </c>
      <c r="F257" s="89">
        <v>0.28489999999999999</v>
      </c>
      <c r="G257" s="89">
        <v>0.71509999999999996</v>
      </c>
      <c r="H257" s="89" t="s">
        <v>31</v>
      </c>
      <c r="I257" s="89" t="b">
        <v>0</v>
      </c>
      <c r="J257" s="89"/>
      <c r="K257" s="89"/>
    </row>
    <row r="258" spans="1:11" x14ac:dyDescent="0.3">
      <c r="A258" s="89"/>
      <c r="B258" s="89"/>
      <c r="C258" s="89">
        <v>45</v>
      </c>
      <c r="D258" s="89">
        <v>2303054</v>
      </c>
      <c r="E258" s="89" t="s">
        <v>20</v>
      </c>
      <c r="F258" s="89">
        <v>0.28399999999999997</v>
      </c>
      <c r="G258" s="89">
        <v>0.71599999999999997</v>
      </c>
      <c r="H258" s="89" t="s">
        <v>49</v>
      </c>
      <c r="I258" s="89" t="b">
        <v>0</v>
      </c>
      <c r="J258" s="89"/>
      <c r="K258" s="89"/>
    </row>
    <row r="259" spans="1:11" x14ac:dyDescent="0.3">
      <c r="A259" s="89"/>
      <c r="B259" s="89"/>
      <c r="C259" s="89">
        <v>53</v>
      </c>
      <c r="D259" s="89">
        <v>1706066</v>
      </c>
      <c r="E259" s="89" t="s">
        <v>20</v>
      </c>
      <c r="F259" s="89">
        <v>0.28370000000000001</v>
      </c>
      <c r="G259" s="89">
        <v>0.71630000000000005</v>
      </c>
      <c r="H259" s="89" t="s">
        <v>31</v>
      </c>
      <c r="I259" s="89" t="b">
        <v>0</v>
      </c>
      <c r="J259" s="89"/>
      <c r="K259" s="89"/>
    </row>
    <row r="260" spans="1:11" x14ac:dyDescent="0.3">
      <c r="A260" s="89"/>
      <c r="B260" s="89"/>
      <c r="C260" s="89">
        <v>96</v>
      </c>
      <c r="D260" s="89">
        <v>2401123</v>
      </c>
      <c r="E260" s="89" t="s">
        <v>20</v>
      </c>
      <c r="F260" s="89">
        <v>0.2828</v>
      </c>
      <c r="G260" s="89">
        <v>0.71719999999999995</v>
      </c>
      <c r="H260" s="89" t="s">
        <v>31</v>
      </c>
      <c r="I260" s="89" t="b">
        <v>0</v>
      </c>
      <c r="J260" s="89"/>
      <c r="K260" s="89"/>
    </row>
    <row r="261" spans="1:11" x14ac:dyDescent="0.3">
      <c r="A261" s="89"/>
      <c r="B261" s="89"/>
      <c r="C261" s="89">
        <v>171</v>
      </c>
      <c r="D261" s="89">
        <v>1706205</v>
      </c>
      <c r="E261" s="89" t="s">
        <v>20</v>
      </c>
      <c r="F261" s="89">
        <v>0.28139999999999998</v>
      </c>
      <c r="G261" s="89">
        <v>0.71860000000000002</v>
      </c>
      <c r="H261" s="89" t="s">
        <v>31</v>
      </c>
      <c r="I261" s="89" t="b">
        <v>0</v>
      </c>
      <c r="J261" s="89"/>
      <c r="K261" s="89"/>
    </row>
    <row r="262" spans="1:11" x14ac:dyDescent="0.3">
      <c r="A262" s="89"/>
      <c r="B262" s="89"/>
      <c r="C262" s="89">
        <v>261</v>
      </c>
      <c r="D262" s="89">
        <v>1705326</v>
      </c>
      <c r="E262" s="89" t="s">
        <v>20</v>
      </c>
      <c r="F262" s="89">
        <v>0.28039999999999998</v>
      </c>
      <c r="G262" s="89">
        <v>0.71960000000000002</v>
      </c>
      <c r="H262" s="89" t="s">
        <v>31</v>
      </c>
      <c r="I262" s="89" t="b">
        <v>0</v>
      </c>
      <c r="J262" s="89"/>
      <c r="K262" s="89"/>
    </row>
    <row r="263" spans="1:11" x14ac:dyDescent="0.3">
      <c r="A263" s="89"/>
      <c r="B263" s="89"/>
      <c r="C263" s="89">
        <v>219</v>
      </c>
      <c r="D263" s="89">
        <v>1706273</v>
      </c>
      <c r="E263" s="89" t="s">
        <v>20</v>
      </c>
      <c r="F263" s="89">
        <v>0.2777</v>
      </c>
      <c r="G263" s="89">
        <v>0.72230000000000005</v>
      </c>
      <c r="H263" s="89" t="s">
        <v>31</v>
      </c>
      <c r="I263" s="89" t="b">
        <v>0</v>
      </c>
      <c r="J263" s="89"/>
      <c r="K263" s="89"/>
    </row>
    <row r="264" spans="1:11" x14ac:dyDescent="0.3">
      <c r="A264" s="89"/>
      <c r="B264" s="89"/>
      <c r="C264" s="89">
        <v>151</v>
      </c>
      <c r="D264" s="89">
        <v>1706184</v>
      </c>
      <c r="E264" s="89" t="s">
        <v>20</v>
      </c>
      <c r="F264" s="89">
        <v>0.27750000000000002</v>
      </c>
      <c r="G264" s="89">
        <v>0.72250000000000003</v>
      </c>
      <c r="H264" s="89" t="s">
        <v>31</v>
      </c>
      <c r="I264" s="89" t="b">
        <v>0</v>
      </c>
      <c r="J264" s="89"/>
      <c r="K264" s="89"/>
    </row>
    <row r="265" spans="1:11" ht="18" customHeight="1" x14ac:dyDescent="0.3">
      <c r="A265" s="89"/>
      <c r="B265" s="89"/>
      <c r="C265" s="89">
        <v>169</v>
      </c>
      <c r="D265" s="89">
        <v>1706203</v>
      </c>
      <c r="E265" s="89" t="s">
        <v>20</v>
      </c>
      <c r="F265" s="89">
        <v>0.2752</v>
      </c>
      <c r="G265" s="89">
        <v>0.7248</v>
      </c>
      <c r="H265" s="89" t="s">
        <v>31</v>
      </c>
      <c r="I265" s="89" t="b">
        <v>0</v>
      </c>
      <c r="J265" s="89"/>
      <c r="K265" s="89"/>
    </row>
    <row r="266" spans="1:11" x14ac:dyDescent="0.3">
      <c r="A266" s="89"/>
      <c r="B266" s="89"/>
      <c r="C266" s="89">
        <v>127</v>
      </c>
      <c r="D266" s="89">
        <v>2303168</v>
      </c>
      <c r="E266" s="89" t="s">
        <v>20</v>
      </c>
      <c r="F266" s="89">
        <v>0.27429999999999999</v>
      </c>
      <c r="G266" s="89">
        <v>0.72570000000000001</v>
      </c>
      <c r="H266" s="89" t="s">
        <v>41</v>
      </c>
      <c r="I266" s="89" t="b">
        <v>0</v>
      </c>
      <c r="J266" s="89"/>
      <c r="K266" s="89"/>
    </row>
    <row r="267" spans="1:11" x14ac:dyDescent="0.3">
      <c r="A267" s="89"/>
      <c r="B267" s="89"/>
      <c r="C267" s="89">
        <v>75</v>
      </c>
      <c r="D267" s="89">
        <v>1706095</v>
      </c>
      <c r="E267" s="89" t="s">
        <v>20</v>
      </c>
      <c r="F267" s="89">
        <v>0.27360000000000001</v>
      </c>
      <c r="G267" s="89">
        <v>0.72640000000000005</v>
      </c>
      <c r="H267" s="89" t="s">
        <v>31</v>
      </c>
      <c r="I267" s="89" t="b">
        <v>0</v>
      </c>
      <c r="J267" s="89"/>
      <c r="K267" s="89"/>
    </row>
    <row r="268" spans="1:11" x14ac:dyDescent="0.3">
      <c r="A268" s="89"/>
      <c r="B268" s="89"/>
      <c r="C268" s="89">
        <v>222</v>
      </c>
      <c r="D268" s="89">
        <v>1706276</v>
      </c>
      <c r="E268" s="89" t="s">
        <v>20</v>
      </c>
      <c r="F268" s="89">
        <v>0.27360000000000001</v>
      </c>
      <c r="G268" s="89">
        <v>0.72640000000000005</v>
      </c>
      <c r="H268" s="89" t="s">
        <v>31</v>
      </c>
      <c r="I268" s="89" t="b">
        <v>0</v>
      </c>
      <c r="J268" s="89"/>
      <c r="K268" s="89"/>
    </row>
    <row r="269" spans="1:11" x14ac:dyDescent="0.3">
      <c r="A269" s="89"/>
      <c r="B269" s="89"/>
      <c r="C269" s="89">
        <v>226</v>
      </c>
      <c r="D269" s="89">
        <v>1706280</v>
      </c>
      <c r="E269" s="89" t="s">
        <v>20</v>
      </c>
      <c r="F269" s="89">
        <v>0.27360000000000001</v>
      </c>
      <c r="G269" s="89">
        <v>0.72640000000000005</v>
      </c>
      <c r="H269" s="89" t="s">
        <v>31</v>
      </c>
      <c r="I269" s="89" t="b">
        <v>0</v>
      </c>
      <c r="J269" s="89"/>
      <c r="K269" s="89"/>
    </row>
    <row r="270" spans="1:11" x14ac:dyDescent="0.3">
      <c r="A270" s="89"/>
      <c r="B270" s="89"/>
      <c r="C270" s="89">
        <v>164</v>
      </c>
      <c r="D270" s="89">
        <v>2303219</v>
      </c>
      <c r="E270" s="89" t="s">
        <v>20</v>
      </c>
      <c r="F270" s="89">
        <v>0.27360000000000001</v>
      </c>
      <c r="G270" s="89">
        <v>0.72640000000000005</v>
      </c>
      <c r="H270" s="89" t="s">
        <v>31</v>
      </c>
      <c r="I270" s="89" t="b">
        <v>0</v>
      </c>
      <c r="J270" s="89"/>
      <c r="K270" s="89"/>
    </row>
    <row r="271" spans="1:11" x14ac:dyDescent="0.3">
      <c r="A271" s="89"/>
      <c r="B271" s="89"/>
      <c r="C271" s="89">
        <v>193</v>
      </c>
      <c r="D271" s="89">
        <v>2303252</v>
      </c>
      <c r="E271" s="89" t="s">
        <v>20</v>
      </c>
      <c r="F271" s="89">
        <v>0.2732</v>
      </c>
      <c r="G271" s="89">
        <v>0.7268</v>
      </c>
      <c r="H271" s="89" t="s">
        <v>47</v>
      </c>
      <c r="I271" s="89" t="b">
        <v>0</v>
      </c>
      <c r="J271" s="89"/>
      <c r="K271" s="89"/>
    </row>
    <row r="272" spans="1:11" x14ac:dyDescent="0.3">
      <c r="A272" s="89"/>
      <c r="B272" s="89"/>
      <c r="C272" s="89">
        <v>180</v>
      </c>
      <c r="D272" s="89">
        <v>1706215</v>
      </c>
      <c r="E272" s="89" t="s">
        <v>20</v>
      </c>
      <c r="F272" s="89">
        <v>0.2727</v>
      </c>
      <c r="G272" s="89">
        <v>0.72729999999999995</v>
      </c>
      <c r="H272" s="89" t="s">
        <v>31</v>
      </c>
      <c r="I272" s="89" t="b">
        <v>0</v>
      </c>
      <c r="J272" s="89"/>
      <c r="K272" s="89"/>
    </row>
    <row r="273" spans="1:11" x14ac:dyDescent="0.3">
      <c r="A273" s="89"/>
      <c r="B273" s="89"/>
      <c r="C273" s="89">
        <v>141</v>
      </c>
      <c r="D273" s="89">
        <v>1705164</v>
      </c>
      <c r="E273" s="89" t="s">
        <v>20</v>
      </c>
      <c r="F273" s="89">
        <v>0.26960000000000001</v>
      </c>
      <c r="G273" s="89">
        <v>0.73040000000000005</v>
      </c>
      <c r="H273" s="89" t="s">
        <v>31</v>
      </c>
      <c r="I273" s="89" t="b">
        <v>0</v>
      </c>
      <c r="J273" s="89"/>
      <c r="K273" s="89"/>
    </row>
    <row r="274" spans="1:11" x14ac:dyDescent="0.3">
      <c r="A274" s="89"/>
      <c r="B274" s="89"/>
      <c r="C274" s="89">
        <v>32</v>
      </c>
      <c r="D274" s="89">
        <v>2303041</v>
      </c>
      <c r="E274" s="89" t="s">
        <v>20</v>
      </c>
      <c r="F274" s="89">
        <v>0.26679999999999998</v>
      </c>
      <c r="G274" s="89">
        <v>0.73319999999999996</v>
      </c>
      <c r="H274" s="89" t="s">
        <v>50</v>
      </c>
      <c r="I274" s="89" t="b">
        <v>0</v>
      </c>
      <c r="J274" s="89"/>
      <c r="K274" s="89"/>
    </row>
    <row r="275" spans="1:11" x14ac:dyDescent="0.3">
      <c r="A275" s="89"/>
      <c r="B275" s="89"/>
      <c r="C275" s="89">
        <v>213</v>
      </c>
      <c r="D275" s="89">
        <v>2303276</v>
      </c>
      <c r="E275" s="89" t="s">
        <v>20</v>
      </c>
      <c r="F275" s="89">
        <v>0.26540000000000002</v>
      </c>
      <c r="G275" s="89">
        <v>0.73460000000000003</v>
      </c>
      <c r="H275" s="89" t="s">
        <v>31</v>
      </c>
      <c r="I275" s="89" t="b">
        <v>0</v>
      </c>
      <c r="J275" s="89"/>
      <c r="K275" s="89"/>
    </row>
    <row r="276" spans="1:11" x14ac:dyDescent="0.3">
      <c r="A276" s="89"/>
      <c r="B276" s="89"/>
      <c r="C276" s="89">
        <v>262</v>
      </c>
      <c r="D276" s="89">
        <v>2303339</v>
      </c>
      <c r="E276" s="89" t="s">
        <v>20</v>
      </c>
      <c r="F276" s="89">
        <v>0.26519999999999999</v>
      </c>
      <c r="G276" s="89">
        <v>0.73480000000000001</v>
      </c>
      <c r="H276" s="89" t="s">
        <v>49</v>
      </c>
      <c r="I276" s="89" t="b">
        <v>0</v>
      </c>
      <c r="J276" s="89"/>
      <c r="K276" s="89"/>
    </row>
    <row r="277" spans="1:11" x14ac:dyDescent="0.3">
      <c r="A277" s="89"/>
      <c r="B277" s="89"/>
      <c r="C277" s="89">
        <v>160</v>
      </c>
      <c r="D277" s="89">
        <v>1706193</v>
      </c>
      <c r="E277" s="89" t="s">
        <v>20</v>
      </c>
      <c r="F277" s="89">
        <v>0.26500000000000001</v>
      </c>
      <c r="G277" s="89">
        <v>0.73499999999999999</v>
      </c>
      <c r="H277" s="89" t="s">
        <v>31</v>
      </c>
      <c r="I277" s="89" t="b">
        <v>0</v>
      </c>
      <c r="J277" s="89"/>
      <c r="K277" s="89"/>
    </row>
    <row r="278" spans="1:11" x14ac:dyDescent="0.3">
      <c r="A278" s="89"/>
      <c r="B278" s="89"/>
      <c r="C278" s="89">
        <v>142</v>
      </c>
      <c r="D278" s="89">
        <v>1705165</v>
      </c>
      <c r="E278" s="89" t="s">
        <v>20</v>
      </c>
      <c r="F278" s="89">
        <v>0.26279999999999998</v>
      </c>
      <c r="G278" s="89">
        <v>0.73719999999999997</v>
      </c>
      <c r="H278" s="89" t="s">
        <v>31</v>
      </c>
      <c r="I278" s="89" t="b">
        <v>0</v>
      </c>
      <c r="J278" s="89"/>
      <c r="K278" s="89"/>
    </row>
    <row r="279" spans="1:11" x14ac:dyDescent="0.3">
      <c r="A279" s="89"/>
      <c r="B279" s="89"/>
      <c r="C279" s="89">
        <v>214</v>
      </c>
      <c r="D279" s="89">
        <v>1706264</v>
      </c>
      <c r="E279" s="89" t="s">
        <v>20</v>
      </c>
      <c r="F279" s="89">
        <v>0.26179999999999998</v>
      </c>
      <c r="G279" s="89">
        <v>0.73819999999999997</v>
      </c>
      <c r="H279" s="89" t="s">
        <v>46</v>
      </c>
      <c r="I279" s="89" t="b">
        <v>0</v>
      </c>
      <c r="J279" s="89"/>
      <c r="K279" s="89"/>
    </row>
    <row r="280" spans="1:11" x14ac:dyDescent="0.3">
      <c r="A280" s="89"/>
      <c r="B280" s="89"/>
      <c r="C280" s="89">
        <v>54</v>
      </c>
      <c r="D280" s="89">
        <v>2401069</v>
      </c>
      <c r="E280" s="89" t="s">
        <v>20</v>
      </c>
      <c r="F280" s="89">
        <v>0.26119999999999999</v>
      </c>
      <c r="G280" s="89">
        <v>0.73880000000000001</v>
      </c>
      <c r="H280" s="89" t="s">
        <v>33</v>
      </c>
      <c r="I280" s="89" t="b">
        <v>0</v>
      </c>
      <c r="J280" s="89"/>
      <c r="K280" s="89"/>
    </row>
    <row r="281" spans="1:11" x14ac:dyDescent="0.3">
      <c r="A281" s="89"/>
      <c r="B281" s="89"/>
      <c r="C281" s="89">
        <v>215</v>
      </c>
      <c r="D281" s="89">
        <v>1706265</v>
      </c>
      <c r="E281" s="89" t="s">
        <v>20</v>
      </c>
      <c r="F281" s="89">
        <v>0.26100000000000001</v>
      </c>
      <c r="G281" s="89">
        <v>0.73899999999999999</v>
      </c>
      <c r="H281" s="89" t="s">
        <v>46</v>
      </c>
      <c r="I281" s="89" t="b">
        <v>0</v>
      </c>
      <c r="J281" s="89"/>
      <c r="K281" s="89"/>
    </row>
    <row r="282" spans="1:11" x14ac:dyDescent="0.3">
      <c r="A282" s="89"/>
      <c r="B282" s="89"/>
      <c r="C282" s="89">
        <v>287</v>
      </c>
      <c r="D282" s="89">
        <v>2303365</v>
      </c>
      <c r="E282" s="89" t="s">
        <v>20</v>
      </c>
      <c r="F282" s="89">
        <v>0.26100000000000001</v>
      </c>
      <c r="G282" s="89">
        <v>0.73899999999999999</v>
      </c>
      <c r="H282" s="89" t="s">
        <v>31</v>
      </c>
      <c r="I282" s="89" t="b">
        <v>0</v>
      </c>
      <c r="J282" s="89"/>
      <c r="K282" s="89"/>
    </row>
    <row r="283" spans="1:11" x14ac:dyDescent="0.3">
      <c r="A283" s="89"/>
      <c r="B283" s="89"/>
      <c r="C283" s="89">
        <v>178</v>
      </c>
      <c r="D283" s="89">
        <v>1706213</v>
      </c>
      <c r="E283" s="89" t="s">
        <v>20</v>
      </c>
      <c r="F283" s="89">
        <v>0.26090000000000002</v>
      </c>
      <c r="G283" s="89">
        <v>0.73909999999999998</v>
      </c>
      <c r="H283" s="89" t="s">
        <v>31</v>
      </c>
      <c r="I283" s="89" t="b">
        <v>0</v>
      </c>
      <c r="J283" s="89"/>
      <c r="K283" s="89"/>
    </row>
    <row r="284" spans="1:11" x14ac:dyDescent="0.3">
      <c r="A284" s="89"/>
      <c r="B284" s="89"/>
      <c r="C284" s="89">
        <v>192</v>
      </c>
      <c r="D284" s="89">
        <v>2303251</v>
      </c>
      <c r="E284" s="89" t="s">
        <v>20</v>
      </c>
      <c r="F284" s="89">
        <v>0.2591</v>
      </c>
      <c r="G284" s="89">
        <v>0.7409</v>
      </c>
      <c r="H284" s="89" t="s">
        <v>31</v>
      </c>
      <c r="I284" s="89" t="b">
        <v>0</v>
      </c>
      <c r="J284" s="89"/>
      <c r="K284" s="89"/>
    </row>
    <row r="285" spans="1:11" x14ac:dyDescent="0.3">
      <c r="A285" s="89"/>
      <c r="B285" s="89"/>
      <c r="C285" s="89">
        <v>97</v>
      </c>
      <c r="D285" s="89">
        <v>2404136</v>
      </c>
      <c r="E285" s="89" t="s">
        <v>20</v>
      </c>
      <c r="F285" s="89">
        <v>0.25869999999999999</v>
      </c>
      <c r="G285" s="89">
        <v>0.74129999999999996</v>
      </c>
      <c r="H285" s="89" t="s">
        <v>31</v>
      </c>
      <c r="I285" s="89" t="b">
        <v>0</v>
      </c>
      <c r="J285" s="89"/>
      <c r="K285" s="89"/>
    </row>
    <row r="286" spans="1:11" x14ac:dyDescent="0.3">
      <c r="A286" s="89"/>
      <c r="B286" s="89"/>
      <c r="C286" s="89">
        <v>43</v>
      </c>
      <c r="D286" s="89">
        <v>1705047</v>
      </c>
      <c r="E286" s="89" t="s">
        <v>20</v>
      </c>
      <c r="F286" s="89">
        <v>0.25619999999999998</v>
      </c>
      <c r="G286" s="89">
        <v>0.74380000000000002</v>
      </c>
      <c r="H286" s="89" t="s">
        <v>31</v>
      </c>
      <c r="I286" s="89" t="b">
        <v>0</v>
      </c>
      <c r="J286" s="89"/>
      <c r="K286" s="89"/>
    </row>
    <row r="287" spans="1:11" x14ac:dyDescent="0.3">
      <c r="A287" s="89"/>
      <c r="B287" s="89"/>
      <c r="C287" s="89">
        <v>170</v>
      </c>
      <c r="D287" s="89">
        <v>1705204</v>
      </c>
      <c r="E287" s="89" t="s">
        <v>20</v>
      </c>
      <c r="F287" s="89">
        <v>0.2555</v>
      </c>
      <c r="G287" s="89">
        <v>0.74450000000000005</v>
      </c>
      <c r="H287" s="89" t="s">
        <v>31</v>
      </c>
      <c r="I287" s="89" t="b">
        <v>0</v>
      </c>
      <c r="J287" s="89"/>
      <c r="K287" s="89"/>
    </row>
    <row r="288" spans="1:11" x14ac:dyDescent="0.3">
      <c r="A288" s="89"/>
      <c r="B288" s="89"/>
      <c r="C288" s="89">
        <v>204</v>
      </c>
      <c r="D288" s="89">
        <v>1706248</v>
      </c>
      <c r="E288" s="89" t="s">
        <v>20</v>
      </c>
      <c r="F288" s="89">
        <v>0.255</v>
      </c>
      <c r="G288" s="89">
        <v>0.745</v>
      </c>
      <c r="H288" s="89" t="s">
        <v>52</v>
      </c>
      <c r="I288" s="89" t="b">
        <v>0</v>
      </c>
      <c r="J288" s="89"/>
      <c r="K288" s="89"/>
    </row>
    <row r="289" spans="1:11" x14ac:dyDescent="0.3">
      <c r="A289" s="89"/>
      <c r="B289" s="89"/>
      <c r="C289" s="89">
        <v>219</v>
      </c>
      <c r="D289" s="89">
        <v>1705260</v>
      </c>
      <c r="E289" s="89" t="s">
        <v>20</v>
      </c>
      <c r="F289" s="89">
        <v>0.25419999999999998</v>
      </c>
      <c r="G289" s="89">
        <v>0.74580000000000002</v>
      </c>
      <c r="H289" s="89" t="s">
        <v>31</v>
      </c>
      <c r="I289" s="89" t="b">
        <v>0</v>
      </c>
      <c r="J289" s="89"/>
      <c r="K289" s="89"/>
    </row>
    <row r="290" spans="1:11" x14ac:dyDescent="0.3">
      <c r="A290" s="89"/>
      <c r="B290" s="89"/>
      <c r="C290" s="89">
        <v>44</v>
      </c>
      <c r="D290" s="89">
        <v>2303053</v>
      </c>
      <c r="E290" s="89" t="s">
        <v>20</v>
      </c>
      <c r="F290" s="89">
        <v>0.253</v>
      </c>
      <c r="G290" s="89">
        <v>0.747</v>
      </c>
      <c r="H290" s="89" t="s">
        <v>26</v>
      </c>
      <c r="I290" s="89" t="b">
        <v>0</v>
      </c>
      <c r="J290" s="89"/>
      <c r="K290" s="89"/>
    </row>
    <row r="291" spans="1:11" x14ac:dyDescent="0.3">
      <c r="A291" s="89"/>
      <c r="B291" s="89"/>
      <c r="C291" s="89">
        <v>104</v>
      </c>
      <c r="D291" s="89">
        <v>2404143</v>
      </c>
      <c r="E291" s="89" t="s">
        <v>20</v>
      </c>
      <c r="F291" s="89">
        <v>0.25130000000000002</v>
      </c>
      <c r="G291" s="89">
        <v>0.74870000000000003</v>
      </c>
      <c r="H291" s="89" t="s">
        <v>26</v>
      </c>
      <c r="I291" s="89" t="b">
        <v>0</v>
      </c>
      <c r="J291" s="89"/>
      <c r="K291" s="89"/>
    </row>
    <row r="292" spans="1:11" x14ac:dyDescent="0.3">
      <c r="A292" s="89"/>
      <c r="B292" s="89"/>
      <c r="C292" s="89">
        <v>92</v>
      </c>
      <c r="D292" s="89">
        <v>2303118</v>
      </c>
      <c r="E292" s="89" t="s">
        <v>20</v>
      </c>
      <c r="F292" s="89">
        <v>0.25109999999999999</v>
      </c>
      <c r="G292" s="89">
        <v>0.74890000000000001</v>
      </c>
      <c r="H292" s="89" t="s">
        <v>31</v>
      </c>
      <c r="I292" s="89" t="b">
        <v>0</v>
      </c>
      <c r="J292" s="89"/>
      <c r="K292" s="89"/>
    </row>
    <row r="293" spans="1:11" x14ac:dyDescent="0.3">
      <c r="A293" s="89"/>
      <c r="B293" s="89"/>
      <c r="C293" s="89">
        <v>93</v>
      </c>
      <c r="D293" s="89">
        <v>1706113</v>
      </c>
      <c r="E293" s="89" t="s">
        <v>20</v>
      </c>
      <c r="F293" s="89">
        <v>0.24990000000000001</v>
      </c>
      <c r="G293" s="89">
        <v>0.75009999999999999</v>
      </c>
      <c r="H293" s="89" t="s">
        <v>31</v>
      </c>
      <c r="I293" s="89" t="b">
        <v>0</v>
      </c>
      <c r="J293" s="89"/>
      <c r="K293" s="89"/>
    </row>
    <row r="294" spans="1:11" x14ac:dyDescent="0.3">
      <c r="A294" s="89"/>
      <c r="B294" s="89"/>
      <c r="C294" s="89">
        <v>104</v>
      </c>
      <c r="D294" s="89">
        <v>2303135</v>
      </c>
      <c r="E294" s="89" t="s">
        <v>20</v>
      </c>
      <c r="F294" s="89">
        <v>0.249</v>
      </c>
      <c r="G294" s="89">
        <v>0.751</v>
      </c>
      <c r="H294" s="89" t="s">
        <v>26</v>
      </c>
      <c r="I294" s="89" t="b">
        <v>0</v>
      </c>
      <c r="J294" s="89"/>
      <c r="K294" s="89"/>
    </row>
    <row r="295" spans="1:11" x14ac:dyDescent="0.3">
      <c r="A295" s="89"/>
      <c r="B295" s="89"/>
      <c r="C295" s="89">
        <v>56</v>
      </c>
      <c r="D295" s="89">
        <v>2401071</v>
      </c>
      <c r="E295" s="89" t="s">
        <v>20</v>
      </c>
      <c r="F295" s="89">
        <v>0.2475</v>
      </c>
      <c r="G295" s="89">
        <v>0.75249999999999995</v>
      </c>
      <c r="H295" s="89" t="s">
        <v>31</v>
      </c>
      <c r="I295" s="89" t="b">
        <v>0</v>
      </c>
      <c r="J295" s="89"/>
      <c r="K295" s="89"/>
    </row>
    <row r="296" spans="1:11" x14ac:dyDescent="0.3">
      <c r="A296" s="89"/>
      <c r="B296" s="89"/>
      <c r="C296" s="89">
        <v>125</v>
      </c>
      <c r="D296" s="89">
        <v>1706152</v>
      </c>
      <c r="E296" s="89" t="s">
        <v>20</v>
      </c>
      <c r="F296" s="89">
        <v>0.2467</v>
      </c>
      <c r="G296" s="89">
        <v>0.75329999999999997</v>
      </c>
      <c r="H296" s="89" t="s">
        <v>31</v>
      </c>
      <c r="I296" s="89" t="b">
        <v>0</v>
      </c>
      <c r="J296" s="89"/>
      <c r="K296" s="89"/>
    </row>
    <row r="297" spans="1:11" x14ac:dyDescent="0.3">
      <c r="A297" s="89"/>
      <c r="B297" s="89"/>
      <c r="C297" s="89">
        <v>55</v>
      </c>
      <c r="D297" s="89">
        <v>2401070</v>
      </c>
      <c r="E297" s="89" t="s">
        <v>20</v>
      </c>
      <c r="F297" s="89">
        <v>0.24660000000000001</v>
      </c>
      <c r="G297" s="89">
        <v>0.75339999999999996</v>
      </c>
      <c r="H297" s="89" t="s">
        <v>26</v>
      </c>
      <c r="I297" s="89" t="b">
        <v>0</v>
      </c>
      <c r="J297" s="89"/>
      <c r="K297" s="89"/>
    </row>
    <row r="298" spans="1:11" x14ac:dyDescent="0.3">
      <c r="A298" s="89"/>
      <c r="B298" s="89"/>
      <c r="C298" s="89">
        <v>30</v>
      </c>
      <c r="D298" s="89">
        <v>1705034</v>
      </c>
      <c r="E298" s="89" t="s">
        <v>20</v>
      </c>
      <c r="F298" s="89">
        <v>0.24610000000000001</v>
      </c>
      <c r="G298" s="89">
        <v>0.75390000000000001</v>
      </c>
      <c r="H298" s="89" t="s">
        <v>31</v>
      </c>
      <c r="I298" s="89" t="b">
        <v>0</v>
      </c>
      <c r="J298" s="89"/>
      <c r="K298" s="89"/>
    </row>
    <row r="299" spans="1:11" x14ac:dyDescent="0.3">
      <c r="A299" s="89"/>
      <c r="B299" s="89"/>
      <c r="C299" s="89">
        <v>128</v>
      </c>
      <c r="D299" s="89">
        <v>1705151</v>
      </c>
      <c r="E299" s="89" t="s">
        <v>20</v>
      </c>
      <c r="F299" s="89">
        <v>0.2455</v>
      </c>
      <c r="G299" s="89">
        <v>0.75449999999999995</v>
      </c>
      <c r="H299" s="89" t="s">
        <v>31</v>
      </c>
      <c r="I299" s="89" t="b">
        <v>0</v>
      </c>
      <c r="J299" s="89"/>
      <c r="K299" s="89"/>
    </row>
    <row r="300" spans="1:11" x14ac:dyDescent="0.3">
      <c r="A300" s="89"/>
      <c r="B300" s="89"/>
      <c r="C300" s="89">
        <v>214</v>
      </c>
      <c r="D300" s="89">
        <v>1705255</v>
      </c>
      <c r="E300" s="89" t="s">
        <v>20</v>
      </c>
      <c r="F300" s="89">
        <v>0.2447</v>
      </c>
      <c r="G300" s="89">
        <v>0.75529999999999997</v>
      </c>
      <c r="H300" s="89" t="s">
        <v>31</v>
      </c>
      <c r="I300" s="89" t="b">
        <v>0</v>
      </c>
      <c r="J300" s="89"/>
      <c r="K300" s="89"/>
    </row>
    <row r="301" spans="1:11" x14ac:dyDescent="0.3">
      <c r="A301" s="89"/>
      <c r="B301" s="89"/>
      <c r="C301" s="89">
        <v>242</v>
      </c>
      <c r="D301" s="89">
        <v>1706306</v>
      </c>
      <c r="E301" s="89" t="s">
        <v>20</v>
      </c>
      <c r="F301" s="89">
        <v>0.2414</v>
      </c>
      <c r="G301" s="89">
        <v>0.75860000000000005</v>
      </c>
      <c r="H301" s="89" t="s">
        <v>31</v>
      </c>
      <c r="I301" s="89" t="b">
        <v>0</v>
      </c>
      <c r="J301" s="89"/>
      <c r="K301" s="89"/>
    </row>
    <row r="302" spans="1:11" x14ac:dyDescent="0.3">
      <c r="A302" s="89"/>
      <c r="B302" s="89"/>
      <c r="C302" s="89">
        <v>138</v>
      </c>
      <c r="D302" s="89">
        <v>1705161</v>
      </c>
      <c r="E302" s="89" t="s">
        <v>20</v>
      </c>
      <c r="F302" s="89">
        <v>0.23780000000000001</v>
      </c>
      <c r="G302" s="89">
        <v>0.76219999999999999</v>
      </c>
      <c r="H302" s="89" t="s">
        <v>31</v>
      </c>
      <c r="I302" s="89" t="b">
        <v>0</v>
      </c>
      <c r="J302" s="89"/>
      <c r="K302" s="89"/>
    </row>
    <row r="303" spans="1:11" x14ac:dyDescent="0.3">
      <c r="A303" s="89"/>
      <c r="B303" s="89"/>
      <c r="C303" s="89">
        <v>106</v>
      </c>
      <c r="D303" s="89">
        <v>2404145</v>
      </c>
      <c r="E303" s="89" t="s">
        <v>20</v>
      </c>
      <c r="F303" s="89">
        <v>0.23769999999999999</v>
      </c>
      <c r="G303" s="89">
        <v>0.76229999999999998</v>
      </c>
      <c r="H303" s="89" t="s">
        <v>41</v>
      </c>
      <c r="I303" s="89" t="b">
        <v>0</v>
      </c>
      <c r="J303" s="89"/>
      <c r="K303" s="89"/>
    </row>
    <row r="304" spans="1:11" x14ac:dyDescent="0.3">
      <c r="A304" s="89"/>
      <c r="B304" s="89"/>
      <c r="C304" s="89">
        <v>13</v>
      </c>
      <c r="D304" s="89">
        <v>1706018</v>
      </c>
      <c r="E304" s="89" t="s">
        <v>20</v>
      </c>
      <c r="F304" s="89">
        <v>0.2354</v>
      </c>
      <c r="G304" s="89">
        <v>0.76459999999999995</v>
      </c>
      <c r="H304" s="89" t="s">
        <v>52</v>
      </c>
      <c r="I304" s="89" t="b">
        <v>0</v>
      </c>
      <c r="J304" s="89"/>
      <c r="K304" s="89"/>
    </row>
    <row r="305" spans="1:11" x14ac:dyDescent="0.3">
      <c r="A305" s="89"/>
      <c r="B305" s="89"/>
      <c r="C305" s="89">
        <v>179</v>
      </c>
      <c r="D305" s="89">
        <v>1706214</v>
      </c>
      <c r="E305" s="89" t="s">
        <v>20</v>
      </c>
      <c r="F305" s="89">
        <v>0.2346</v>
      </c>
      <c r="G305" s="89">
        <v>0.76539999999999997</v>
      </c>
      <c r="H305" s="89" t="s">
        <v>31</v>
      </c>
      <c r="I305" s="89" t="b">
        <v>0</v>
      </c>
      <c r="J305" s="89"/>
      <c r="K305" s="89"/>
    </row>
    <row r="306" spans="1:11" x14ac:dyDescent="0.3">
      <c r="A306" s="89"/>
      <c r="B306" s="89"/>
      <c r="C306" s="89">
        <v>93</v>
      </c>
      <c r="D306" s="89">
        <v>2401120</v>
      </c>
      <c r="E306" s="89" t="s">
        <v>20</v>
      </c>
      <c r="F306" s="89">
        <v>0.23449999999999999</v>
      </c>
      <c r="G306" s="89">
        <v>0.76549999999999996</v>
      </c>
      <c r="H306" s="89" t="s">
        <v>31</v>
      </c>
      <c r="I306" s="89" t="b">
        <v>0</v>
      </c>
      <c r="J306" s="89"/>
      <c r="K306" s="89"/>
    </row>
    <row r="307" spans="1:11" x14ac:dyDescent="0.3">
      <c r="A307" s="89"/>
      <c r="B307" s="89"/>
      <c r="C307" s="89">
        <v>188</v>
      </c>
      <c r="D307" s="89">
        <v>2303246</v>
      </c>
      <c r="E307" s="89" t="s">
        <v>20</v>
      </c>
      <c r="F307" s="89">
        <v>0.23430000000000001</v>
      </c>
      <c r="G307" s="89">
        <v>0.76570000000000005</v>
      </c>
      <c r="H307" s="89" t="s">
        <v>31</v>
      </c>
      <c r="I307" s="89" t="b">
        <v>0</v>
      </c>
      <c r="J307" s="89"/>
      <c r="K307" s="89"/>
    </row>
    <row r="308" spans="1:11" x14ac:dyDescent="0.3">
      <c r="A308" s="89"/>
      <c r="B308" s="89"/>
      <c r="C308" s="89">
        <v>68</v>
      </c>
      <c r="D308" s="89">
        <v>2303086</v>
      </c>
      <c r="E308" s="89" t="s">
        <v>20</v>
      </c>
      <c r="F308" s="89">
        <v>0.23380000000000001</v>
      </c>
      <c r="G308" s="89">
        <v>0.76619999999999999</v>
      </c>
      <c r="H308" s="89" t="s">
        <v>46</v>
      </c>
      <c r="I308" s="89" t="b">
        <v>0</v>
      </c>
      <c r="J308" s="89"/>
      <c r="K308" s="89"/>
    </row>
    <row r="309" spans="1:11" x14ac:dyDescent="0.3">
      <c r="A309" s="89"/>
      <c r="B309" s="89"/>
      <c r="C309" s="89">
        <v>114</v>
      </c>
      <c r="D309" s="89">
        <v>2404154</v>
      </c>
      <c r="E309" s="89" t="s">
        <v>20</v>
      </c>
      <c r="F309" s="89">
        <v>0.2331</v>
      </c>
      <c r="G309" s="89">
        <v>0.76690000000000003</v>
      </c>
      <c r="H309" s="89" t="s">
        <v>41</v>
      </c>
      <c r="I309" s="89" t="b">
        <v>0</v>
      </c>
      <c r="J309" s="89"/>
      <c r="K309" s="89"/>
    </row>
    <row r="310" spans="1:11" x14ac:dyDescent="0.3">
      <c r="A310" s="89"/>
      <c r="B310" s="89"/>
      <c r="C310" s="89">
        <v>266</v>
      </c>
      <c r="D310" s="89">
        <v>1706341</v>
      </c>
      <c r="E310" s="89" t="s">
        <v>20</v>
      </c>
      <c r="F310" s="89">
        <v>0.23300000000000001</v>
      </c>
      <c r="G310" s="89">
        <v>0.76700000000000002</v>
      </c>
      <c r="H310" s="89" t="s">
        <v>47</v>
      </c>
      <c r="I310" s="89" t="b">
        <v>0</v>
      </c>
      <c r="J310" s="89"/>
      <c r="K310" s="89"/>
    </row>
    <row r="311" spans="1:11" x14ac:dyDescent="0.3">
      <c r="A311" s="89"/>
      <c r="B311" s="89"/>
      <c r="C311" s="89">
        <v>40</v>
      </c>
      <c r="D311" s="89">
        <v>1705044</v>
      </c>
      <c r="E311" s="89" t="s">
        <v>20</v>
      </c>
      <c r="F311" s="89">
        <v>0.23280000000000001</v>
      </c>
      <c r="G311" s="89">
        <v>0.76719999999999999</v>
      </c>
      <c r="H311" s="89" t="s">
        <v>31</v>
      </c>
      <c r="I311" s="89" t="b">
        <v>0</v>
      </c>
      <c r="J311" s="89"/>
      <c r="K311" s="89"/>
    </row>
    <row r="312" spans="1:11" x14ac:dyDescent="0.3">
      <c r="A312" s="89"/>
      <c r="B312" s="89"/>
      <c r="C312" s="89">
        <v>31</v>
      </c>
      <c r="D312" s="89">
        <v>2303040</v>
      </c>
      <c r="E312" s="89" t="s">
        <v>20</v>
      </c>
      <c r="F312" s="89">
        <v>0.2324</v>
      </c>
      <c r="G312" s="89">
        <v>0.76759999999999995</v>
      </c>
      <c r="H312" s="89" t="s">
        <v>26</v>
      </c>
      <c r="I312" s="89" t="b">
        <v>0</v>
      </c>
      <c r="J312" s="89"/>
      <c r="K312" s="89"/>
    </row>
    <row r="313" spans="1:11" x14ac:dyDescent="0.3">
      <c r="A313" s="89"/>
      <c r="B313" s="89"/>
      <c r="C313" s="89">
        <v>15</v>
      </c>
      <c r="D313" s="89">
        <v>2401021</v>
      </c>
      <c r="E313" s="89" t="s">
        <v>20</v>
      </c>
      <c r="F313" s="89">
        <v>0.23230000000000001</v>
      </c>
      <c r="G313" s="89">
        <v>0.76770000000000005</v>
      </c>
      <c r="H313" s="89" t="s">
        <v>48</v>
      </c>
      <c r="I313" s="89" t="b">
        <v>0</v>
      </c>
      <c r="J313" s="89"/>
      <c r="K313" s="89"/>
    </row>
    <row r="314" spans="1:11" x14ac:dyDescent="0.3">
      <c r="A314" s="89"/>
      <c r="B314" s="89"/>
      <c r="C314" s="89">
        <v>259</v>
      </c>
      <c r="D314" s="89">
        <v>1705324</v>
      </c>
      <c r="E314" s="89" t="s">
        <v>20</v>
      </c>
      <c r="F314" s="89">
        <v>0.23200000000000001</v>
      </c>
      <c r="G314" s="89">
        <v>0.76800000000000002</v>
      </c>
      <c r="H314" s="89" t="s">
        <v>47</v>
      </c>
      <c r="I314" s="89" t="b">
        <v>0</v>
      </c>
      <c r="J314" s="89"/>
      <c r="K314" s="89"/>
    </row>
    <row r="315" spans="1:11" x14ac:dyDescent="0.3">
      <c r="A315" s="89"/>
      <c r="B315" s="89"/>
      <c r="C315" s="89">
        <v>28</v>
      </c>
      <c r="D315" s="89">
        <v>2401040</v>
      </c>
      <c r="E315" s="89" t="s">
        <v>20</v>
      </c>
      <c r="F315" s="89">
        <v>0.23019999999999999</v>
      </c>
      <c r="G315" s="89">
        <v>0.76980000000000004</v>
      </c>
      <c r="H315" s="89" t="s">
        <v>31</v>
      </c>
      <c r="I315" s="89" t="b">
        <v>0</v>
      </c>
      <c r="J315" s="89"/>
      <c r="K315" s="89"/>
    </row>
    <row r="316" spans="1:11" x14ac:dyDescent="0.3">
      <c r="A316" s="89"/>
      <c r="B316" s="89"/>
      <c r="C316" s="89">
        <v>169</v>
      </c>
      <c r="D316" s="89">
        <v>2303226</v>
      </c>
      <c r="E316" s="89" t="s">
        <v>20</v>
      </c>
      <c r="F316" s="89">
        <v>0.22789999999999999</v>
      </c>
      <c r="G316" s="89">
        <v>0.77210000000000001</v>
      </c>
      <c r="H316" s="89" t="s">
        <v>31</v>
      </c>
      <c r="I316" s="89" t="b">
        <v>0</v>
      </c>
      <c r="J316" s="89"/>
      <c r="K316" s="89"/>
    </row>
    <row r="317" spans="1:11" x14ac:dyDescent="0.3">
      <c r="A317" s="89"/>
      <c r="B317" s="89"/>
      <c r="C317" s="89">
        <v>36</v>
      </c>
      <c r="D317" s="89">
        <v>2303045</v>
      </c>
      <c r="E317" s="89" t="s">
        <v>20</v>
      </c>
      <c r="F317" s="89">
        <v>0.22770000000000001</v>
      </c>
      <c r="G317" s="89">
        <v>0.77229999999999999</v>
      </c>
      <c r="H317" s="89" t="s">
        <v>41</v>
      </c>
      <c r="I317" s="89" t="b">
        <v>0</v>
      </c>
      <c r="J317" s="89"/>
      <c r="K317" s="89"/>
    </row>
    <row r="318" spans="1:11" x14ac:dyDescent="0.3">
      <c r="A318" s="89"/>
      <c r="B318" s="89"/>
      <c r="C318" s="89">
        <v>97</v>
      </c>
      <c r="D318" s="89">
        <v>1705114</v>
      </c>
      <c r="E318" s="89" t="s">
        <v>20</v>
      </c>
      <c r="F318" s="89">
        <v>0.2273</v>
      </c>
      <c r="G318" s="89">
        <v>0.77270000000000005</v>
      </c>
      <c r="H318" s="89" t="s">
        <v>47</v>
      </c>
      <c r="I318" s="89" t="b">
        <v>0</v>
      </c>
      <c r="J318" s="89"/>
      <c r="K318" s="89"/>
    </row>
    <row r="319" spans="1:11" x14ac:dyDescent="0.3">
      <c r="A319" s="89"/>
      <c r="B319" s="89"/>
      <c r="C319" s="89">
        <v>144</v>
      </c>
      <c r="D319" s="89">
        <v>2303192</v>
      </c>
      <c r="E319" s="89" t="s">
        <v>20</v>
      </c>
      <c r="F319" s="89">
        <v>0.2273</v>
      </c>
      <c r="G319" s="89">
        <v>0.77270000000000005</v>
      </c>
      <c r="H319" s="89" t="s">
        <v>28</v>
      </c>
      <c r="I319" s="89" t="b">
        <v>0</v>
      </c>
      <c r="J319" s="89"/>
      <c r="K319" s="89"/>
    </row>
    <row r="320" spans="1:11" x14ac:dyDescent="0.3">
      <c r="A320" s="89"/>
      <c r="B320" s="89"/>
      <c r="C320" s="89">
        <v>1</v>
      </c>
      <c r="D320" s="89">
        <v>2404001</v>
      </c>
      <c r="E320" s="89" t="s">
        <v>20</v>
      </c>
      <c r="F320" s="89">
        <v>0.2273</v>
      </c>
      <c r="G320" s="89">
        <v>0.77270000000000005</v>
      </c>
      <c r="H320" s="89" t="s">
        <v>41</v>
      </c>
      <c r="I320" s="89" t="b">
        <v>0</v>
      </c>
      <c r="J320" s="89"/>
      <c r="K320" s="89"/>
    </row>
    <row r="321" spans="1:11" x14ac:dyDescent="0.3">
      <c r="A321" s="89"/>
      <c r="B321" s="89"/>
      <c r="C321" s="89">
        <v>206</v>
      </c>
      <c r="D321" s="89">
        <v>1706251</v>
      </c>
      <c r="E321" s="89" t="s">
        <v>20</v>
      </c>
      <c r="F321" s="89">
        <v>0.22700000000000001</v>
      </c>
      <c r="G321" s="89">
        <v>0.77300000000000002</v>
      </c>
      <c r="H321" s="89" t="s">
        <v>47</v>
      </c>
      <c r="I321" s="89" t="b">
        <v>0</v>
      </c>
      <c r="J321" s="89"/>
      <c r="K321" s="89"/>
    </row>
    <row r="322" spans="1:11" x14ac:dyDescent="0.3">
      <c r="A322" s="89"/>
      <c r="B322" s="89"/>
      <c r="C322" s="89">
        <v>11</v>
      </c>
      <c r="D322" s="89">
        <v>1706016</v>
      </c>
      <c r="E322" s="89" t="s">
        <v>20</v>
      </c>
      <c r="F322" s="89">
        <v>0.22650000000000001</v>
      </c>
      <c r="G322" s="89">
        <v>0.77349999999999997</v>
      </c>
      <c r="H322" s="89" t="s">
        <v>47</v>
      </c>
      <c r="I322" s="89" t="b">
        <v>0</v>
      </c>
      <c r="J322" s="89"/>
      <c r="K322" s="89"/>
    </row>
    <row r="323" spans="1:11" x14ac:dyDescent="0.3">
      <c r="A323" s="89"/>
      <c r="B323" s="89"/>
      <c r="C323" s="89">
        <v>7</v>
      </c>
      <c r="D323" s="89">
        <v>2401012</v>
      </c>
      <c r="E323" s="89" t="s">
        <v>20</v>
      </c>
      <c r="F323" s="89">
        <v>0.2263</v>
      </c>
      <c r="G323" s="89">
        <v>0.77370000000000005</v>
      </c>
      <c r="H323" s="89" t="s">
        <v>51</v>
      </c>
      <c r="I323" s="89" t="b">
        <v>0</v>
      </c>
      <c r="J323" s="89"/>
      <c r="K323" s="89"/>
    </row>
    <row r="324" spans="1:11" x14ac:dyDescent="0.3">
      <c r="A324" s="89"/>
      <c r="B324" s="89"/>
      <c r="C324" s="89">
        <v>97</v>
      </c>
      <c r="D324" s="89">
        <v>1706119</v>
      </c>
      <c r="E324" s="89" t="s">
        <v>20</v>
      </c>
      <c r="F324" s="89">
        <v>0.22339999999999999</v>
      </c>
      <c r="G324" s="89">
        <v>0.77659999999999996</v>
      </c>
      <c r="H324" s="89" t="s">
        <v>31</v>
      </c>
      <c r="I324" s="89" t="b">
        <v>0</v>
      </c>
      <c r="J324" s="89"/>
      <c r="K324" s="89"/>
    </row>
    <row r="325" spans="1:11" x14ac:dyDescent="0.3">
      <c r="A325" s="89"/>
      <c r="B325" s="89"/>
      <c r="C325" s="89">
        <v>5</v>
      </c>
      <c r="D325" s="89">
        <v>2401010</v>
      </c>
      <c r="E325" s="89" t="s">
        <v>20</v>
      </c>
      <c r="F325" s="89">
        <v>0.22309999999999999</v>
      </c>
      <c r="G325" s="89">
        <v>0.77690000000000003</v>
      </c>
      <c r="H325" s="89" t="s">
        <v>48</v>
      </c>
      <c r="I325" s="89" t="b">
        <v>0</v>
      </c>
      <c r="J325" s="89"/>
      <c r="K325" s="89"/>
    </row>
    <row r="326" spans="1:11" x14ac:dyDescent="0.3">
      <c r="A326" s="89"/>
      <c r="B326" s="89"/>
      <c r="C326" s="89">
        <v>228</v>
      </c>
      <c r="D326" s="89">
        <v>1705271</v>
      </c>
      <c r="E326" s="89" t="s">
        <v>20</v>
      </c>
      <c r="F326" s="89">
        <v>0.2218</v>
      </c>
      <c r="G326" s="89">
        <v>0.7782</v>
      </c>
      <c r="H326" s="89" t="s">
        <v>31</v>
      </c>
      <c r="I326" s="89" t="b">
        <v>0</v>
      </c>
      <c r="J326" s="89"/>
      <c r="K326" s="89"/>
    </row>
    <row r="327" spans="1:11" x14ac:dyDescent="0.3">
      <c r="A327" s="89"/>
      <c r="B327" s="89"/>
      <c r="C327" s="89">
        <v>234</v>
      </c>
      <c r="D327" s="89">
        <v>2303305</v>
      </c>
      <c r="E327" s="89" t="s">
        <v>20</v>
      </c>
      <c r="F327" s="89">
        <v>0.2218</v>
      </c>
      <c r="G327" s="89">
        <v>0.7782</v>
      </c>
      <c r="H327" s="89" t="s">
        <v>31</v>
      </c>
      <c r="I327" s="89" t="b">
        <v>0</v>
      </c>
      <c r="J327" s="89"/>
      <c r="K327" s="89"/>
    </row>
    <row r="328" spans="1:11" x14ac:dyDescent="0.3">
      <c r="A328" s="89"/>
      <c r="B328" s="89"/>
      <c r="C328" s="89">
        <v>150</v>
      </c>
      <c r="D328" s="89">
        <v>1705174</v>
      </c>
      <c r="E328" s="89" t="s">
        <v>20</v>
      </c>
      <c r="F328" s="89">
        <v>0.22109999999999999</v>
      </c>
      <c r="G328" s="89">
        <v>0.77890000000000004</v>
      </c>
      <c r="H328" s="89" t="s">
        <v>31</v>
      </c>
      <c r="I328" s="89" t="b">
        <v>0</v>
      </c>
      <c r="J328" s="89"/>
      <c r="K328" s="89"/>
    </row>
    <row r="329" spans="1:11" x14ac:dyDescent="0.3">
      <c r="A329" s="89"/>
      <c r="B329" s="89"/>
      <c r="C329" s="89">
        <v>224</v>
      </c>
      <c r="D329" s="89">
        <v>2303295</v>
      </c>
      <c r="E329" s="89" t="s">
        <v>20</v>
      </c>
      <c r="F329" s="89">
        <v>0.2208</v>
      </c>
      <c r="G329" s="89">
        <v>0.7792</v>
      </c>
      <c r="H329" s="89" t="s">
        <v>28</v>
      </c>
      <c r="I329" s="89" t="b">
        <v>0</v>
      </c>
      <c r="J329" s="89"/>
      <c r="K329" s="89"/>
    </row>
    <row r="330" spans="1:11" x14ac:dyDescent="0.3">
      <c r="A330" s="89"/>
      <c r="B330" s="89"/>
      <c r="C330" s="89">
        <v>292</v>
      </c>
      <c r="D330" s="89">
        <v>2303371</v>
      </c>
      <c r="E330" s="89" t="s">
        <v>20</v>
      </c>
      <c r="F330" s="89">
        <v>0.22070000000000001</v>
      </c>
      <c r="G330" s="89">
        <v>0.77929999999999999</v>
      </c>
      <c r="H330" s="89" t="s">
        <v>31</v>
      </c>
      <c r="I330" s="89" t="b">
        <v>0</v>
      </c>
      <c r="J330" s="89"/>
      <c r="K330" s="89"/>
    </row>
    <row r="331" spans="1:11" x14ac:dyDescent="0.3">
      <c r="A331" s="89"/>
      <c r="B331" s="89"/>
      <c r="C331" s="89">
        <v>154</v>
      </c>
      <c r="D331" s="89">
        <v>1705178</v>
      </c>
      <c r="E331" s="89" t="s">
        <v>20</v>
      </c>
      <c r="F331" s="89">
        <v>0.2205</v>
      </c>
      <c r="G331" s="89">
        <v>0.77949999999999997</v>
      </c>
      <c r="H331" s="89" t="s">
        <v>31</v>
      </c>
      <c r="I331" s="89" t="b">
        <v>0</v>
      </c>
      <c r="J331" s="89"/>
      <c r="K331" s="89"/>
    </row>
    <row r="332" spans="1:11" x14ac:dyDescent="0.3">
      <c r="A332" s="89"/>
      <c r="B332" s="89"/>
      <c r="C332" s="89">
        <v>237</v>
      </c>
      <c r="D332" s="89">
        <v>2303308</v>
      </c>
      <c r="E332" s="89" t="s">
        <v>20</v>
      </c>
      <c r="F332" s="89">
        <v>0.2195</v>
      </c>
      <c r="G332" s="89">
        <v>0.78049999999999997</v>
      </c>
      <c r="H332" s="89" t="s">
        <v>52</v>
      </c>
      <c r="I332" s="89" t="b">
        <v>0</v>
      </c>
      <c r="J332" s="89"/>
      <c r="K332" s="89"/>
    </row>
    <row r="333" spans="1:11" x14ac:dyDescent="0.3">
      <c r="A333" s="89"/>
      <c r="B333" s="89"/>
      <c r="C333" s="89">
        <v>258</v>
      </c>
      <c r="D333" s="89">
        <v>1706331</v>
      </c>
      <c r="E333" s="89" t="s">
        <v>20</v>
      </c>
      <c r="F333" s="89">
        <v>0.21909999999999999</v>
      </c>
      <c r="G333" s="89">
        <v>0.78090000000000004</v>
      </c>
      <c r="H333" s="89" t="s">
        <v>31</v>
      </c>
      <c r="I333" s="89" t="b">
        <v>0</v>
      </c>
      <c r="J333" s="89"/>
      <c r="K333" s="89"/>
    </row>
    <row r="334" spans="1:11" x14ac:dyDescent="0.3">
      <c r="A334" s="89"/>
      <c r="B334" s="89"/>
      <c r="C334" s="89">
        <v>141</v>
      </c>
      <c r="D334" s="89">
        <v>1706173</v>
      </c>
      <c r="E334" s="89" t="s">
        <v>20</v>
      </c>
      <c r="F334" s="89">
        <v>0.21859999999999999</v>
      </c>
      <c r="G334" s="89">
        <v>0.78139999999999998</v>
      </c>
      <c r="H334" s="89" t="s">
        <v>41</v>
      </c>
      <c r="I334" s="89" t="b">
        <v>0</v>
      </c>
      <c r="J334" s="89"/>
      <c r="K334" s="89"/>
    </row>
    <row r="335" spans="1:11" x14ac:dyDescent="0.3">
      <c r="A335" s="89"/>
      <c r="B335" s="89"/>
      <c r="C335" s="89">
        <v>192</v>
      </c>
      <c r="D335" s="89">
        <v>1705229</v>
      </c>
      <c r="E335" s="89" t="s">
        <v>20</v>
      </c>
      <c r="F335" s="89">
        <v>0.21829999999999999</v>
      </c>
      <c r="G335" s="89">
        <v>0.78169999999999995</v>
      </c>
      <c r="H335" s="89" t="s">
        <v>31</v>
      </c>
      <c r="I335" s="89" t="b">
        <v>0</v>
      </c>
      <c r="J335" s="89"/>
      <c r="K335" s="89"/>
    </row>
    <row r="336" spans="1:11" x14ac:dyDescent="0.3">
      <c r="A336" s="89"/>
      <c r="B336" s="89"/>
      <c r="C336" s="89">
        <v>72</v>
      </c>
      <c r="D336" s="89">
        <v>1705085</v>
      </c>
      <c r="E336" s="89" t="s">
        <v>20</v>
      </c>
      <c r="F336" s="89">
        <v>0.21820000000000001</v>
      </c>
      <c r="G336" s="89">
        <v>0.78180000000000005</v>
      </c>
      <c r="H336" s="89" t="s">
        <v>46</v>
      </c>
      <c r="I336" s="89" t="b">
        <v>0</v>
      </c>
      <c r="J336" s="89"/>
      <c r="K336" s="89"/>
    </row>
    <row r="337" spans="1:11" x14ac:dyDescent="0.3">
      <c r="A337" s="89"/>
      <c r="B337" s="89"/>
      <c r="C337" s="89">
        <v>79</v>
      </c>
      <c r="D337" s="89">
        <v>1706099</v>
      </c>
      <c r="E337" s="89" t="s">
        <v>20</v>
      </c>
      <c r="F337" s="89">
        <v>0.21659999999999999</v>
      </c>
      <c r="G337" s="89">
        <v>0.78339999999999999</v>
      </c>
      <c r="H337" s="89" t="s">
        <v>55</v>
      </c>
      <c r="I337" s="89" t="b">
        <v>0</v>
      </c>
      <c r="J337" s="89"/>
      <c r="K337" s="89"/>
    </row>
    <row r="338" spans="1:11" x14ac:dyDescent="0.3">
      <c r="A338" s="89"/>
      <c r="B338" s="89"/>
      <c r="C338" s="89">
        <v>135</v>
      </c>
      <c r="D338" s="89">
        <v>1706164</v>
      </c>
      <c r="E338" s="89" t="s">
        <v>20</v>
      </c>
      <c r="F338" s="89">
        <v>0.21629999999999999</v>
      </c>
      <c r="G338" s="89">
        <v>0.78369999999999995</v>
      </c>
      <c r="H338" s="89" t="s">
        <v>46</v>
      </c>
      <c r="I338" s="89" t="b">
        <v>0</v>
      </c>
      <c r="J338" s="89"/>
      <c r="K338" s="89"/>
    </row>
    <row r="339" spans="1:11" x14ac:dyDescent="0.3">
      <c r="A339" s="89"/>
      <c r="B339" s="89"/>
      <c r="C339" s="89">
        <v>36</v>
      </c>
      <c r="D339" s="89">
        <v>1706047</v>
      </c>
      <c r="E339" s="89" t="s">
        <v>20</v>
      </c>
      <c r="F339" s="89">
        <v>0.216</v>
      </c>
      <c r="G339" s="89">
        <v>0.78400000000000003</v>
      </c>
      <c r="H339" s="89" t="s">
        <v>31</v>
      </c>
      <c r="I339" s="89" t="b">
        <v>0</v>
      </c>
      <c r="J339" s="89"/>
      <c r="K339" s="89"/>
    </row>
    <row r="340" spans="1:11" x14ac:dyDescent="0.3">
      <c r="A340" s="89"/>
      <c r="B340" s="89"/>
      <c r="C340" s="89">
        <v>109</v>
      </c>
      <c r="D340" s="89">
        <v>1706134</v>
      </c>
      <c r="E340" s="89" t="s">
        <v>20</v>
      </c>
      <c r="F340" s="89">
        <v>0.21579999999999999</v>
      </c>
      <c r="G340" s="89">
        <v>0.78420000000000001</v>
      </c>
      <c r="H340" s="89" t="s">
        <v>31</v>
      </c>
      <c r="I340" s="89" t="b">
        <v>0</v>
      </c>
      <c r="J340" s="89"/>
      <c r="K340" s="89"/>
    </row>
    <row r="341" spans="1:11" x14ac:dyDescent="0.3">
      <c r="A341" s="89"/>
      <c r="B341" s="89"/>
      <c r="C341" s="89">
        <v>39</v>
      </c>
      <c r="D341" s="89">
        <v>2404058</v>
      </c>
      <c r="E341" s="89" t="s">
        <v>20</v>
      </c>
      <c r="F341" s="89">
        <v>0.21460000000000001</v>
      </c>
      <c r="G341" s="89">
        <v>0.78539999999999999</v>
      </c>
      <c r="H341" s="89" t="s">
        <v>55</v>
      </c>
      <c r="I341" s="89" t="b">
        <v>0</v>
      </c>
      <c r="J341" s="89"/>
      <c r="K341" s="89"/>
    </row>
    <row r="342" spans="1:11" x14ac:dyDescent="0.3">
      <c r="A342" s="89"/>
      <c r="B342" s="89"/>
      <c r="C342" s="89">
        <v>259</v>
      </c>
      <c r="D342" s="89">
        <v>2303336</v>
      </c>
      <c r="E342" s="89" t="s">
        <v>20</v>
      </c>
      <c r="F342" s="89">
        <v>0.2142</v>
      </c>
      <c r="G342" s="89">
        <v>0.78580000000000005</v>
      </c>
      <c r="H342" s="89" t="s">
        <v>28</v>
      </c>
      <c r="I342" s="89" t="b">
        <v>0</v>
      </c>
      <c r="J342" s="89"/>
      <c r="K342" s="89"/>
    </row>
    <row r="343" spans="1:11" x14ac:dyDescent="0.3">
      <c r="A343" s="89"/>
      <c r="B343" s="89"/>
      <c r="C343" s="89">
        <v>263</v>
      </c>
      <c r="D343" s="89">
        <v>1706336</v>
      </c>
      <c r="E343" s="89" t="s">
        <v>20</v>
      </c>
      <c r="F343" s="89">
        <v>0.214</v>
      </c>
      <c r="G343" s="89">
        <v>0.78600000000000003</v>
      </c>
      <c r="H343" s="89" t="s">
        <v>31</v>
      </c>
      <c r="I343" s="89" t="b">
        <v>0</v>
      </c>
      <c r="J343" s="89"/>
      <c r="K343" s="89"/>
    </row>
    <row r="344" spans="1:11" x14ac:dyDescent="0.3">
      <c r="A344" s="89"/>
      <c r="B344" s="89"/>
      <c r="C344" s="89">
        <v>124</v>
      </c>
      <c r="D344" s="89">
        <v>1706151</v>
      </c>
      <c r="E344" s="89" t="s">
        <v>20</v>
      </c>
      <c r="F344" s="89">
        <v>0.21279999999999999</v>
      </c>
      <c r="G344" s="89">
        <v>0.78720000000000001</v>
      </c>
      <c r="H344" s="89" t="s">
        <v>31</v>
      </c>
      <c r="I344" s="89" t="b">
        <v>0</v>
      </c>
      <c r="J344" s="89"/>
      <c r="K344" s="89"/>
    </row>
    <row r="345" spans="1:11" x14ac:dyDescent="0.3">
      <c r="A345" s="89"/>
      <c r="B345" s="89"/>
      <c r="C345" s="89">
        <v>152</v>
      </c>
      <c r="D345" s="89">
        <v>1705176</v>
      </c>
      <c r="E345" s="89" t="s">
        <v>20</v>
      </c>
      <c r="F345" s="89">
        <v>0.21249999999999999</v>
      </c>
      <c r="G345" s="89">
        <v>0.78749999999999998</v>
      </c>
      <c r="H345" s="89" t="s">
        <v>31</v>
      </c>
      <c r="I345" s="89" t="b">
        <v>0</v>
      </c>
      <c r="J345" s="89"/>
      <c r="K345" s="89"/>
    </row>
    <row r="346" spans="1:11" x14ac:dyDescent="0.3">
      <c r="A346" s="89"/>
      <c r="B346" s="89"/>
      <c r="C346" s="89">
        <v>239</v>
      </c>
      <c r="D346" s="89">
        <v>1705297</v>
      </c>
      <c r="E346" s="89" t="s">
        <v>20</v>
      </c>
      <c r="F346" s="89">
        <v>0.2114</v>
      </c>
      <c r="G346" s="89">
        <v>0.78859999999999997</v>
      </c>
      <c r="H346" s="89" t="s">
        <v>31</v>
      </c>
      <c r="I346" s="89" t="b">
        <v>0</v>
      </c>
      <c r="J346" s="89"/>
      <c r="K346" s="89"/>
    </row>
    <row r="347" spans="1:11" x14ac:dyDescent="0.3">
      <c r="A347" s="89"/>
      <c r="B347" s="89"/>
      <c r="C347" s="89">
        <v>253</v>
      </c>
      <c r="D347" s="89">
        <v>1705316</v>
      </c>
      <c r="E347" s="89" t="s">
        <v>20</v>
      </c>
      <c r="F347" s="89">
        <v>0.2109</v>
      </c>
      <c r="G347" s="89">
        <v>0.78910000000000002</v>
      </c>
      <c r="H347" s="89" t="s">
        <v>31</v>
      </c>
      <c r="I347" s="89" t="b">
        <v>0</v>
      </c>
      <c r="J347" s="89"/>
      <c r="K347" s="89"/>
    </row>
    <row r="348" spans="1:11" x14ac:dyDescent="0.3">
      <c r="A348" s="89"/>
      <c r="B348" s="89"/>
      <c r="C348" s="89">
        <v>1</v>
      </c>
      <c r="D348" s="89">
        <v>2303001</v>
      </c>
      <c r="E348" s="89" t="s">
        <v>20</v>
      </c>
      <c r="F348" s="89">
        <v>0.2104</v>
      </c>
      <c r="G348" s="89">
        <v>0.78959999999999997</v>
      </c>
      <c r="H348" s="89" t="s">
        <v>28</v>
      </c>
      <c r="I348" s="89" t="b">
        <v>0</v>
      </c>
      <c r="J348" s="89"/>
      <c r="K348" s="89"/>
    </row>
    <row r="349" spans="1:11" x14ac:dyDescent="0.3">
      <c r="A349" s="89"/>
      <c r="B349" s="89"/>
      <c r="C349" s="89">
        <v>167</v>
      </c>
      <c r="D349" s="89">
        <v>2303224</v>
      </c>
      <c r="E349" s="89" t="s">
        <v>20</v>
      </c>
      <c r="F349" s="89">
        <v>0.2104</v>
      </c>
      <c r="G349" s="89">
        <v>0.78959999999999997</v>
      </c>
      <c r="H349" s="89" t="s">
        <v>52</v>
      </c>
      <c r="I349" s="89" t="b">
        <v>0</v>
      </c>
      <c r="J349" s="89"/>
      <c r="K349" s="89"/>
    </row>
    <row r="350" spans="1:11" x14ac:dyDescent="0.3">
      <c r="A350" s="89"/>
      <c r="B350" s="89"/>
      <c r="C350" s="89">
        <v>121</v>
      </c>
      <c r="D350" s="89">
        <v>2303160</v>
      </c>
      <c r="E350" s="89" t="s">
        <v>20</v>
      </c>
      <c r="F350" s="89">
        <v>0.2102</v>
      </c>
      <c r="G350" s="89">
        <v>0.78979999999999995</v>
      </c>
      <c r="H350" s="89" t="s">
        <v>53</v>
      </c>
      <c r="I350" s="89" t="b">
        <v>0</v>
      </c>
      <c r="J350" s="89"/>
      <c r="K350" s="89"/>
    </row>
    <row r="351" spans="1:11" x14ac:dyDescent="0.3">
      <c r="A351" s="89"/>
      <c r="B351" s="89"/>
      <c r="C351" s="89">
        <v>113</v>
      </c>
      <c r="D351" s="89">
        <v>1705133</v>
      </c>
      <c r="E351" s="89" t="s">
        <v>20</v>
      </c>
      <c r="F351" s="89">
        <v>0.2099</v>
      </c>
      <c r="G351" s="89">
        <v>0.79010000000000002</v>
      </c>
      <c r="H351" s="89" t="s">
        <v>31</v>
      </c>
      <c r="I351" s="89" t="b">
        <v>0</v>
      </c>
      <c r="J351" s="89"/>
      <c r="K351" s="89"/>
    </row>
    <row r="352" spans="1:11" x14ac:dyDescent="0.3">
      <c r="A352" s="89"/>
      <c r="B352" s="89"/>
      <c r="C352" s="89">
        <v>182</v>
      </c>
      <c r="D352" s="89">
        <v>1705218</v>
      </c>
      <c r="E352" s="89" t="s">
        <v>20</v>
      </c>
      <c r="F352" s="89">
        <v>0.20780000000000001</v>
      </c>
      <c r="G352" s="89">
        <v>0.79220000000000002</v>
      </c>
      <c r="H352" s="89" t="s">
        <v>31</v>
      </c>
      <c r="I352" s="89" t="b">
        <v>0</v>
      </c>
      <c r="J352" s="89"/>
      <c r="K352" s="89"/>
    </row>
    <row r="353" spans="1:11" x14ac:dyDescent="0.3">
      <c r="A353" s="89"/>
      <c r="B353" s="89"/>
      <c r="C353" s="89">
        <v>240</v>
      </c>
      <c r="D353" s="89">
        <v>2303315</v>
      </c>
      <c r="E353" s="89" t="s">
        <v>20</v>
      </c>
      <c r="F353" s="89">
        <v>0.20749999999999999</v>
      </c>
      <c r="G353" s="89">
        <v>0.79249999999999998</v>
      </c>
      <c r="H353" s="89" t="s">
        <v>47</v>
      </c>
      <c r="I353" s="89" t="b">
        <v>0</v>
      </c>
      <c r="J353" s="89"/>
      <c r="K353" s="89"/>
    </row>
    <row r="354" spans="1:11" x14ac:dyDescent="0.3">
      <c r="A354" s="89"/>
      <c r="B354" s="89"/>
      <c r="C354" s="89">
        <v>264</v>
      </c>
      <c r="D354" s="89">
        <v>2303341</v>
      </c>
      <c r="E354" s="89" t="s">
        <v>20</v>
      </c>
      <c r="F354" s="89">
        <v>0.20749999999999999</v>
      </c>
      <c r="G354" s="89">
        <v>0.79249999999999998</v>
      </c>
      <c r="H354" s="89" t="s">
        <v>28</v>
      </c>
      <c r="I354" s="89" t="b">
        <v>0</v>
      </c>
      <c r="J354" s="89"/>
      <c r="K354" s="89"/>
    </row>
    <row r="355" spans="1:11" x14ac:dyDescent="0.3">
      <c r="A355" s="89"/>
      <c r="B355" s="89"/>
      <c r="C355" s="89">
        <v>196</v>
      </c>
      <c r="D355" s="89">
        <v>1705233</v>
      </c>
      <c r="E355" s="89" t="s">
        <v>20</v>
      </c>
      <c r="F355" s="89">
        <v>0.2072</v>
      </c>
      <c r="G355" s="89">
        <v>0.79279999999999995</v>
      </c>
      <c r="H355" s="89" t="s">
        <v>35</v>
      </c>
      <c r="I355" s="89" t="b">
        <v>0</v>
      </c>
      <c r="J355" s="89"/>
      <c r="K355" s="89"/>
    </row>
    <row r="356" spans="1:11" x14ac:dyDescent="0.3">
      <c r="A356" s="89"/>
      <c r="B356" s="89"/>
      <c r="C356" s="89">
        <v>40</v>
      </c>
      <c r="D356" s="89">
        <v>2303049</v>
      </c>
      <c r="E356" s="89" t="s">
        <v>20</v>
      </c>
      <c r="F356" s="89">
        <v>0.2054</v>
      </c>
      <c r="G356" s="89">
        <v>0.79459999999999997</v>
      </c>
      <c r="H356" s="89" t="s">
        <v>28</v>
      </c>
      <c r="I356" s="89" t="b">
        <v>0</v>
      </c>
      <c r="J356" s="89"/>
      <c r="K356" s="89"/>
    </row>
    <row r="357" spans="1:11" x14ac:dyDescent="0.3">
      <c r="A357" s="89"/>
      <c r="B357" s="89"/>
      <c r="C357" s="89">
        <v>268</v>
      </c>
      <c r="D357" s="89">
        <v>1705338</v>
      </c>
      <c r="E357" s="89" t="s">
        <v>20</v>
      </c>
      <c r="F357" s="89">
        <v>0.20530000000000001</v>
      </c>
      <c r="G357" s="89">
        <v>0.79469999999999996</v>
      </c>
      <c r="H357" s="89" t="s">
        <v>31</v>
      </c>
      <c r="I357" s="89" t="b">
        <v>0</v>
      </c>
      <c r="J357" s="89"/>
      <c r="K357" s="89"/>
    </row>
    <row r="358" spans="1:11" x14ac:dyDescent="0.3">
      <c r="A358" s="89"/>
      <c r="B358" s="89"/>
      <c r="C358" s="89">
        <v>188</v>
      </c>
      <c r="D358" s="89">
        <v>1706223</v>
      </c>
      <c r="E358" s="89" t="s">
        <v>20</v>
      </c>
      <c r="F358" s="89">
        <v>0.2051</v>
      </c>
      <c r="G358" s="89">
        <v>0.79490000000000005</v>
      </c>
      <c r="H358" s="89" t="s">
        <v>31</v>
      </c>
      <c r="I358" s="89" t="b">
        <v>0</v>
      </c>
      <c r="J358" s="89"/>
      <c r="K358" s="89"/>
    </row>
    <row r="359" spans="1:11" x14ac:dyDescent="0.3">
      <c r="A359" s="89"/>
      <c r="B359" s="89"/>
      <c r="C359" s="89">
        <v>291</v>
      </c>
      <c r="D359" s="89">
        <v>1705390</v>
      </c>
      <c r="E359" s="89" t="s">
        <v>20</v>
      </c>
      <c r="F359" s="89">
        <v>0.2046</v>
      </c>
      <c r="G359" s="89">
        <v>0.7954</v>
      </c>
      <c r="H359" s="89" t="s">
        <v>31</v>
      </c>
      <c r="I359" s="89" t="b">
        <v>0</v>
      </c>
      <c r="J359" s="89"/>
      <c r="K359" s="89"/>
    </row>
    <row r="360" spans="1:11" x14ac:dyDescent="0.3">
      <c r="A360" s="89"/>
      <c r="B360" s="89"/>
      <c r="C360" s="89">
        <v>103</v>
      </c>
      <c r="D360" s="89">
        <v>1706125</v>
      </c>
      <c r="E360" s="89" t="s">
        <v>20</v>
      </c>
      <c r="F360" s="89">
        <v>0.2046</v>
      </c>
      <c r="G360" s="89">
        <v>0.7954</v>
      </c>
      <c r="H360" s="89" t="s">
        <v>47</v>
      </c>
      <c r="I360" s="89" t="b">
        <v>0</v>
      </c>
      <c r="J360" s="89"/>
      <c r="K360" s="89"/>
    </row>
    <row r="361" spans="1:11" x14ac:dyDescent="0.3">
      <c r="A361" s="89"/>
      <c r="B361" s="89"/>
      <c r="C361" s="89">
        <v>187</v>
      </c>
      <c r="D361" s="89">
        <v>1706221</v>
      </c>
      <c r="E361" s="89" t="s">
        <v>20</v>
      </c>
      <c r="F361" s="89">
        <v>0.2044</v>
      </c>
      <c r="G361" s="89">
        <v>0.79559999999999997</v>
      </c>
      <c r="H361" s="89" t="s">
        <v>33</v>
      </c>
      <c r="I361" s="89" t="b">
        <v>0</v>
      </c>
      <c r="J361" s="89"/>
      <c r="K361" s="89"/>
    </row>
    <row r="362" spans="1:11" x14ac:dyDescent="0.3">
      <c r="A362" s="89"/>
      <c r="B362" s="89"/>
      <c r="C362" s="89">
        <v>7</v>
      </c>
      <c r="D362" s="89">
        <v>1705008</v>
      </c>
      <c r="E362" s="89" t="s">
        <v>20</v>
      </c>
      <c r="F362" s="89">
        <v>0.2036</v>
      </c>
      <c r="G362" s="89">
        <v>0.7964</v>
      </c>
      <c r="H362" s="89" t="s">
        <v>46</v>
      </c>
      <c r="I362" s="89" t="b">
        <v>0</v>
      </c>
      <c r="J362" s="89"/>
      <c r="K362" s="89"/>
    </row>
    <row r="363" spans="1:11" x14ac:dyDescent="0.3">
      <c r="A363" s="89"/>
      <c r="B363" s="89"/>
      <c r="C363" s="89">
        <v>124</v>
      </c>
      <c r="D363" s="89">
        <v>1705145</v>
      </c>
      <c r="E363" s="89" t="s">
        <v>20</v>
      </c>
      <c r="F363" s="89">
        <v>0.2036</v>
      </c>
      <c r="G363" s="89">
        <v>0.7964</v>
      </c>
      <c r="H363" s="89" t="s">
        <v>31</v>
      </c>
      <c r="I363" s="89" t="b">
        <v>0</v>
      </c>
      <c r="J363" s="89"/>
      <c r="K363" s="89"/>
    </row>
    <row r="364" spans="1:11" x14ac:dyDescent="0.3">
      <c r="A364" s="89"/>
      <c r="B364" s="89"/>
      <c r="C364" s="89">
        <v>118</v>
      </c>
      <c r="D364" s="89">
        <v>1706144</v>
      </c>
      <c r="E364" s="89" t="s">
        <v>20</v>
      </c>
      <c r="F364" s="89">
        <v>0.2036</v>
      </c>
      <c r="G364" s="89">
        <v>0.7964</v>
      </c>
      <c r="H364" s="89" t="s">
        <v>46</v>
      </c>
      <c r="I364" s="89" t="b">
        <v>0</v>
      </c>
      <c r="J364" s="89"/>
      <c r="K364" s="89"/>
    </row>
    <row r="365" spans="1:11" x14ac:dyDescent="0.3">
      <c r="A365" s="89"/>
      <c r="B365" s="89"/>
      <c r="C365" s="89">
        <v>181</v>
      </c>
      <c r="D365" s="89">
        <v>1705217</v>
      </c>
      <c r="E365" s="89" t="s">
        <v>20</v>
      </c>
      <c r="F365" s="89">
        <v>0.20300000000000001</v>
      </c>
      <c r="G365" s="89">
        <v>0.79700000000000004</v>
      </c>
      <c r="H365" s="89" t="s">
        <v>31</v>
      </c>
      <c r="I365" s="89" t="b">
        <v>0</v>
      </c>
      <c r="J365" s="89"/>
      <c r="K365" s="89"/>
    </row>
    <row r="366" spans="1:11" x14ac:dyDescent="0.3">
      <c r="A366" s="89"/>
      <c r="B366" s="89"/>
      <c r="C366" s="89">
        <v>3</v>
      </c>
      <c r="D366" s="89">
        <v>1705003</v>
      </c>
      <c r="E366" s="89" t="s">
        <v>20</v>
      </c>
      <c r="F366" s="89">
        <v>0.2026</v>
      </c>
      <c r="G366" s="89">
        <v>0.7974</v>
      </c>
      <c r="H366" s="89" t="s">
        <v>31</v>
      </c>
      <c r="I366" s="89" t="b">
        <v>0</v>
      </c>
      <c r="J366" s="89"/>
      <c r="K366" s="89"/>
    </row>
    <row r="367" spans="1:11" x14ac:dyDescent="0.3">
      <c r="A367" s="89"/>
      <c r="B367" s="89"/>
      <c r="C367" s="89">
        <v>64</v>
      </c>
      <c r="D367" s="89">
        <v>2303081</v>
      </c>
      <c r="E367" s="89" t="s">
        <v>20</v>
      </c>
      <c r="F367" s="89">
        <v>0.2026</v>
      </c>
      <c r="G367" s="89">
        <v>0.7974</v>
      </c>
      <c r="H367" s="89" t="s">
        <v>46</v>
      </c>
      <c r="I367" s="89" t="b">
        <v>0</v>
      </c>
      <c r="J367" s="89"/>
      <c r="K367" s="89"/>
    </row>
    <row r="368" spans="1:11" x14ac:dyDescent="0.3">
      <c r="A368" s="89"/>
      <c r="B368" s="89"/>
      <c r="C368" s="89">
        <v>20</v>
      </c>
      <c r="D368" s="89">
        <v>2401028</v>
      </c>
      <c r="E368" s="89" t="s">
        <v>20</v>
      </c>
      <c r="F368" s="89">
        <v>0.20250000000000001</v>
      </c>
      <c r="G368" s="89">
        <v>0.79749999999999999</v>
      </c>
      <c r="H368" s="89" t="s">
        <v>31</v>
      </c>
      <c r="I368" s="89" t="b">
        <v>0</v>
      </c>
      <c r="J368" s="89"/>
      <c r="K368" s="89"/>
    </row>
    <row r="369" spans="1:11" x14ac:dyDescent="0.3">
      <c r="A369" s="89"/>
      <c r="B369" s="89"/>
      <c r="C369" s="89">
        <v>104</v>
      </c>
      <c r="D369" s="89">
        <v>2401133</v>
      </c>
      <c r="E369" s="89" t="s">
        <v>20</v>
      </c>
      <c r="F369" s="89">
        <v>0.20219999999999999</v>
      </c>
      <c r="G369" s="89">
        <v>0.79779999999999995</v>
      </c>
      <c r="H369" s="89" t="s">
        <v>31</v>
      </c>
      <c r="I369" s="89" t="b">
        <v>0</v>
      </c>
      <c r="J369" s="89"/>
      <c r="K369" s="89"/>
    </row>
    <row r="370" spans="1:11" x14ac:dyDescent="0.3">
      <c r="A370" s="89"/>
      <c r="B370" s="89"/>
      <c r="C370" s="89">
        <v>227</v>
      </c>
      <c r="D370" s="89">
        <v>1705270</v>
      </c>
      <c r="E370" s="89" t="s">
        <v>20</v>
      </c>
      <c r="F370" s="89">
        <v>0.20169999999999999</v>
      </c>
      <c r="G370" s="89">
        <v>0.79830000000000001</v>
      </c>
      <c r="H370" s="89" t="s">
        <v>31</v>
      </c>
      <c r="I370" s="89" t="b">
        <v>0</v>
      </c>
      <c r="J370" s="89"/>
      <c r="K370" s="89"/>
    </row>
    <row r="371" spans="1:11" x14ac:dyDescent="0.3">
      <c r="A371" s="89"/>
      <c r="B371" s="89"/>
      <c r="C371" s="89">
        <v>251</v>
      </c>
      <c r="D371" s="89">
        <v>1705314</v>
      </c>
      <c r="E371" s="89" t="s">
        <v>20</v>
      </c>
      <c r="F371" s="89">
        <v>0.20169999999999999</v>
      </c>
      <c r="G371" s="89">
        <v>0.79830000000000001</v>
      </c>
      <c r="H371" s="89" t="s">
        <v>46</v>
      </c>
      <c r="I371" s="89" t="b">
        <v>0</v>
      </c>
      <c r="J371" s="89"/>
      <c r="K371" s="89"/>
    </row>
    <row r="372" spans="1:11" x14ac:dyDescent="0.3">
      <c r="A372" s="89"/>
      <c r="B372" s="89"/>
      <c r="C372" s="89">
        <v>78</v>
      </c>
      <c r="D372" s="89">
        <v>2401098</v>
      </c>
      <c r="E372" s="89" t="s">
        <v>20</v>
      </c>
      <c r="F372" s="89">
        <v>0.20130000000000001</v>
      </c>
      <c r="G372" s="89">
        <v>0.79869999999999997</v>
      </c>
      <c r="H372" s="89" t="s">
        <v>31</v>
      </c>
      <c r="I372" s="89" t="b">
        <v>0</v>
      </c>
      <c r="J372" s="89"/>
      <c r="K372" s="89"/>
    </row>
    <row r="373" spans="1:11" x14ac:dyDescent="0.3">
      <c r="A373" s="89"/>
      <c r="B373" s="89"/>
      <c r="C373" s="89">
        <v>208</v>
      </c>
      <c r="D373" s="89">
        <v>1705248</v>
      </c>
      <c r="E373" s="89" t="s">
        <v>20</v>
      </c>
      <c r="F373" s="89">
        <v>0.19950000000000001</v>
      </c>
      <c r="G373" s="89">
        <v>0.80049999999999999</v>
      </c>
      <c r="H373" s="89" t="s">
        <v>33</v>
      </c>
      <c r="I373" s="89" t="b">
        <v>0</v>
      </c>
      <c r="J373" s="89"/>
      <c r="K373" s="89"/>
    </row>
    <row r="374" spans="1:11" x14ac:dyDescent="0.3">
      <c r="A374" s="89"/>
      <c r="B374" s="89"/>
      <c r="C374" s="89">
        <v>67</v>
      </c>
      <c r="D374" s="89">
        <v>2401084</v>
      </c>
      <c r="E374" s="89" t="s">
        <v>20</v>
      </c>
      <c r="F374" s="89">
        <v>0.1991</v>
      </c>
      <c r="G374" s="89">
        <v>0.80089999999999995</v>
      </c>
      <c r="H374" s="89" t="s">
        <v>31</v>
      </c>
      <c r="I374" s="89" t="b">
        <v>0</v>
      </c>
      <c r="J374" s="89"/>
      <c r="K374" s="89"/>
    </row>
    <row r="375" spans="1:11" x14ac:dyDescent="0.3">
      <c r="A375" s="89"/>
      <c r="B375" s="89"/>
      <c r="C375" s="89">
        <v>52</v>
      </c>
      <c r="D375" s="89">
        <v>1705060</v>
      </c>
      <c r="E375" s="89" t="s">
        <v>20</v>
      </c>
      <c r="F375" s="89">
        <v>0.19900000000000001</v>
      </c>
      <c r="G375" s="89">
        <v>0.80100000000000005</v>
      </c>
      <c r="H375" s="89" t="s">
        <v>52</v>
      </c>
      <c r="I375" s="89" t="b">
        <v>0</v>
      </c>
      <c r="J375" s="89"/>
      <c r="K375" s="89"/>
    </row>
    <row r="376" spans="1:11" x14ac:dyDescent="0.3">
      <c r="A376" s="89"/>
      <c r="B376" s="89"/>
      <c r="C376" s="89">
        <v>158</v>
      </c>
      <c r="D376" s="89">
        <v>1705182</v>
      </c>
      <c r="E376" s="89" t="s">
        <v>20</v>
      </c>
      <c r="F376" s="89">
        <v>0.1986</v>
      </c>
      <c r="G376" s="89">
        <v>0.8014</v>
      </c>
      <c r="H376" s="89" t="s">
        <v>38</v>
      </c>
      <c r="I376" s="89" t="b">
        <v>0</v>
      </c>
      <c r="J376" s="89"/>
      <c r="K376" s="89"/>
    </row>
    <row r="377" spans="1:11" x14ac:dyDescent="0.3">
      <c r="A377" s="89"/>
      <c r="B377" s="89"/>
      <c r="C377" s="89">
        <v>74</v>
      </c>
      <c r="D377" s="89">
        <v>1705088</v>
      </c>
      <c r="E377" s="89" t="s">
        <v>20</v>
      </c>
      <c r="F377" s="89">
        <v>0.1976</v>
      </c>
      <c r="G377" s="89">
        <v>0.8024</v>
      </c>
      <c r="H377" s="89" t="s">
        <v>31</v>
      </c>
      <c r="I377" s="89" t="b">
        <v>0</v>
      </c>
      <c r="J377" s="89"/>
      <c r="K377" s="89"/>
    </row>
    <row r="378" spans="1:11" x14ac:dyDescent="0.3">
      <c r="A378" s="89"/>
      <c r="B378" s="89"/>
      <c r="C378" s="89">
        <v>169</v>
      </c>
      <c r="D378" s="89">
        <v>1705203</v>
      </c>
      <c r="E378" s="89" t="s">
        <v>20</v>
      </c>
      <c r="F378" s="89">
        <v>0.19670000000000001</v>
      </c>
      <c r="G378" s="89">
        <v>0.80330000000000001</v>
      </c>
      <c r="H378" s="89" t="s">
        <v>31</v>
      </c>
      <c r="I378" s="89" t="b">
        <v>0</v>
      </c>
      <c r="J378" s="89"/>
      <c r="K378" s="89"/>
    </row>
    <row r="379" spans="1:11" x14ac:dyDescent="0.3">
      <c r="A379" s="89"/>
      <c r="B379" s="89"/>
      <c r="C379" s="89">
        <v>125</v>
      </c>
      <c r="D379" s="89">
        <v>1705146</v>
      </c>
      <c r="E379" s="89" t="s">
        <v>20</v>
      </c>
      <c r="F379" s="89">
        <v>0.19639999999999999</v>
      </c>
      <c r="G379" s="89">
        <v>0.80359999999999998</v>
      </c>
      <c r="H379" s="89" t="s">
        <v>31</v>
      </c>
      <c r="I379" s="89" t="b">
        <v>0</v>
      </c>
      <c r="J379" s="89"/>
      <c r="K379" s="89"/>
    </row>
    <row r="380" spans="1:11" x14ac:dyDescent="0.3">
      <c r="A380" s="89"/>
      <c r="B380" s="89"/>
      <c r="C380" s="89">
        <v>94</v>
      </c>
      <c r="D380" s="89">
        <v>1705110</v>
      </c>
      <c r="E380" s="89" t="s">
        <v>20</v>
      </c>
      <c r="F380" s="89">
        <v>0.1963</v>
      </c>
      <c r="G380" s="89">
        <v>0.80369999999999997</v>
      </c>
      <c r="H380" s="89" t="s">
        <v>47</v>
      </c>
      <c r="I380" s="89" t="b">
        <v>0</v>
      </c>
      <c r="J380" s="89"/>
      <c r="K380" s="89"/>
    </row>
    <row r="381" spans="1:11" x14ac:dyDescent="0.3">
      <c r="A381" s="89"/>
      <c r="B381" s="89"/>
      <c r="C381" s="89">
        <v>206</v>
      </c>
      <c r="D381" s="89">
        <v>2303269</v>
      </c>
      <c r="E381" s="89" t="s">
        <v>20</v>
      </c>
      <c r="F381" s="89">
        <v>0.19539999999999999</v>
      </c>
      <c r="G381" s="89">
        <v>0.80459999999999998</v>
      </c>
      <c r="H381" s="89" t="s">
        <v>31</v>
      </c>
      <c r="I381" s="89" t="b">
        <v>0</v>
      </c>
      <c r="J381" s="89"/>
      <c r="K381" s="89"/>
    </row>
    <row r="382" spans="1:11" x14ac:dyDescent="0.3">
      <c r="A382" s="89"/>
      <c r="B382" s="89"/>
      <c r="C382" s="89">
        <v>117</v>
      </c>
      <c r="D382" s="89">
        <v>1705137</v>
      </c>
      <c r="E382" s="89" t="s">
        <v>20</v>
      </c>
      <c r="F382" s="89">
        <v>0.19470000000000001</v>
      </c>
      <c r="G382" s="89">
        <v>0.80530000000000002</v>
      </c>
      <c r="H382" s="89" t="s">
        <v>31</v>
      </c>
      <c r="I382" s="89" t="b">
        <v>0</v>
      </c>
      <c r="J382" s="89"/>
      <c r="K382" s="89"/>
    </row>
    <row r="383" spans="1:11" x14ac:dyDescent="0.3">
      <c r="A383" s="89"/>
      <c r="B383" s="89"/>
      <c r="C383" s="89">
        <v>153</v>
      </c>
      <c r="D383" s="89">
        <v>1706186</v>
      </c>
      <c r="E383" s="89" t="s">
        <v>20</v>
      </c>
      <c r="F383" s="89">
        <v>0.1943</v>
      </c>
      <c r="G383" s="89">
        <v>0.80569999999999997</v>
      </c>
      <c r="H383" s="89" t="s">
        <v>38</v>
      </c>
      <c r="I383" s="89" t="b">
        <v>0</v>
      </c>
      <c r="J383" s="89"/>
      <c r="K383" s="89"/>
    </row>
    <row r="384" spans="1:11" x14ac:dyDescent="0.3">
      <c r="A384" s="89"/>
      <c r="B384" s="89"/>
      <c r="C384" s="89">
        <v>222</v>
      </c>
      <c r="D384" s="89">
        <v>1705263</v>
      </c>
      <c r="E384" s="89" t="s">
        <v>20</v>
      </c>
      <c r="F384" s="89">
        <v>0.19339999999999999</v>
      </c>
      <c r="G384" s="89">
        <v>0.80659999999999998</v>
      </c>
      <c r="H384" s="89" t="s">
        <v>31</v>
      </c>
      <c r="I384" s="89" t="b">
        <v>0</v>
      </c>
      <c r="J384" s="89"/>
      <c r="K384" s="89"/>
    </row>
    <row r="385" spans="1:11" x14ac:dyDescent="0.3">
      <c r="A385" s="89"/>
      <c r="B385" s="89"/>
      <c r="C385" s="89">
        <v>58</v>
      </c>
      <c r="D385" s="89">
        <v>1706071</v>
      </c>
      <c r="E385" s="89" t="s">
        <v>20</v>
      </c>
      <c r="F385" s="89">
        <v>0.1928</v>
      </c>
      <c r="G385" s="89">
        <v>0.80720000000000003</v>
      </c>
      <c r="H385" s="89" t="s">
        <v>31</v>
      </c>
      <c r="I385" s="89" t="b">
        <v>0</v>
      </c>
      <c r="J385" s="89"/>
      <c r="K385" s="89"/>
    </row>
    <row r="386" spans="1:11" x14ac:dyDescent="0.3">
      <c r="A386" s="89"/>
      <c r="B386" s="89"/>
      <c r="C386" s="89">
        <v>182</v>
      </c>
      <c r="D386" s="89">
        <v>1706131</v>
      </c>
      <c r="E386" s="89" t="s">
        <v>20</v>
      </c>
      <c r="F386" s="89">
        <v>0.1928</v>
      </c>
      <c r="G386" s="89">
        <v>0.80720000000000003</v>
      </c>
      <c r="H386" s="89" t="s">
        <v>47</v>
      </c>
      <c r="I386" s="89" t="b">
        <v>0</v>
      </c>
      <c r="J386" s="89"/>
      <c r="K386" s="89"/>
    </row>
    <row r="387" spans="1:11" x14ac:dyDescent="0.3">
      <c r="A387" s="89"/>
      <c r="B387" s="89"/>
      <c r="C387" s="89">
        <v>13</v>
      </c>
      <c r="D387" s="89">
        <v>2401019</v>
      </c>
      <c r="E387" s="89" t="s">
        <v>20</v>
      </c>
      <c r="F387" s="89">
        <v>0.19209999999999999</v>
      </c>
      <c r="G387" s="89">
        <v>0.80789999999999995</v>
      </c>
      <c r="H387" s="89" t="s">
        <v>48</v>
      </c>
      <c r="I387" s="89" t="b">
        <v>0</v>
      </c>
      <c r="J387" s="89"/>
      <c r="K387" s="89"/>
    </row>
    <row r="388" spans="1:11" x14ac:dyDescent="0.3">
      <c r="A388" s="89"/>
      <c r="B388" s="89"/>
      <c r="C388" s="89">
        <v>22</v>
      </c>
      <c r="D388" s="89">
        <v>2401031</v>
      </c>
      <c r="E388" s="89" t="s">
        <v>20</v>
      </c>
      <c r="F388" s="89">
        <v>0.1915</v>
      </c>
      <c r="G388" s="89">
        <v>0.8085</v>
      </c>
      <c r="H388" s="89" t="s">
        <v>31</v>
      </c>
      <c r="I388" s="89" t="b">
        <v>0</v>
      </c>
      <c r="J388" s="89"/>
      <c r="K388" s="89"/>
    </row>
    <row r="389" spans="1:11" x14ac:dyDescent="0.3">
      <c r="A389" s="89"/>
      <c r="B389" s="89"/>
      <c r="C389" s="89">
        <v>5</v>
      </c>
      <c r="D389" s="89">
        <v>1706008</v>
      </c>
      <c r="E389" s="89" t="s">
        <v>20</v>
      </c>
      <c r="F389" s="89">
        <v>0.19109999999999999</v>
      </c>
      <c r="G389" s="89">
        <v>0.80889999999999995</v>
      </c>
      <c r="H389" s="89" t="s">
        <v>31</v>
      </c>
      <c r="I389" s="89" t="b">
        <v>0</v>
      </c>
      <c r="J389" s="89"/>
      <c r="K389" s="89"/>
    </row>
    <row r="390" spans="1:11" x14ac:dyDescent="0.3">
      <c r="A390" s="89"/>
      <c r="B390" s="89"/>
      <c r="C390" s="89">
        <v>25</v>
      </c>
      <c r="D390" s="89">
        <v>2303031</v>
      </c>
      <c r="E390" s="89" t="s">
        <v>20</v>
      </c>
      <c r="F390" s="89">
        <v>0.19109999999999999</v>
      </c>
      <c r="G390" s="89">
        <v>0.80889999999999995</v>
      </c>
      <c r="H390" s="89" t="s">
        <v>28</v>
      </c>
      <c r="I390" s="89" t="b">
        <v>0</v>
      </c>
      <c r="J390" s="89"/>
      <c r="K390" s="89"/>
    </row>
    <row r="391" spans="1:11" x14ac:dyDescent="0.3">
      <c r="A391" s="89"/>
      <c r="B391" s="89"/>
      <c r="C391" s="89">
        <v>196</v>
      </c>
      <c r="D391" s="89">
        <v>1706232</v>
      </c>
      <c r="E391" s="89" t="s">
        <v>20</v>
      </c>
      <c r="F391" s="89">
        <v>0.191</v>
      </c>
      <c r="G391" s="89">
        <v>0.80900000000000005</v>
      </c>
      <c r="H391" s="89" t="s">
        <v>31</v>
      </c>
      <c r="I391" s="89" t="b">
        <v>0</v>
      </c>
      <c r="J391" s="89"/>
      <c r="K391" s="89"/>
    </row>
    <row r="392" spans="1:11" x14ac:dyDescent="0.3">
      <c r="A392" s="89"/>
      <c r="B392" s="89"/>
      <c r="C392" s="89">
        <v>48</v>
      </c>
      <c r="D392" s="89">
        <v>2303057</v>
      </c>
      <c r="E392" s="89" t="s">
        <v>20</v>
      </c>
      <c r="F392" s="89">
        <v>0.19059999999999999</v>
      </c>
      <c r="G392" s="89">
        <v>0.80940000000000001</v>
      </c>
      <c r="H392" s="89" t="s">
        <v>47</v>
      </c>
      <c r="I392" s="89" t="b">
        <v>0</v>
      </c>
      <c r="J392" s="89"/>
      <c r="K392" s="89"/>
    </row>
    <row r="393" spans="1:11" x14ac:dyDescent="0.3">
      <c r="A393" s="89"/>
      <c r="B393" s="89"/>
      <c r="C393" s="89">
        <v>254</v>
      </c>
      <c r="D393" s="89">
        <v>1705317</v>
      </c>
      <c r="E393" s="89" t="s">
        <v>20</v>
      </c>
      <c r="F393" s="89">
        <v>0.18959999999999999</v>
      </c>
      <c r="G393" s="89">
        <v>0.81040000000000001</v>
      </c>
      <c r="H393" s="89" t="s">
        <v>52</v>
      </c>
      <c r="I393" s="89" t="b">
        <v>0</v>
      </c>
      <c r="J393" s="89"/>
      <c r="K393" s="89"/>
    </row>
    <row r="394" spans="1:11" x14ac:dyDescent="0.3">
      <c r="A394" s="89"/>
      <c r="B394" s="89"/>
      <c r="C394" s="89">
        <v>24</v>
      </c>
      <c r="D394" s="89">
        <v>1706032</v>
      </c>
      <c r="E394" s="89" t="s">
        <v>20</v>
      </c>
      <c r="F394" s="89">
        <v>0.18920000000000001</v>
      </c>
      <c r="G394" s="89">
        <v>0.81079999999999997</v>
      </c>
      <c r="H394" s="89" t="s">
        <v>31</v>
      </c>
      <c r="I394" s="89" t="b">
        <v>0</v>
      </c>
      <c r="J394" s="89"/>
      <c r="K394" s="89"/>
    </row>
    <row r="395" spans="1:11" x14ac:dyDescent="0.3">
      <c r="A395" s="89"/>
      <c r="B395" s="89"/>
      <c r="C395" s="89">
        <v>34</v>
      </c>
      <c r="D395" s="89">
        <v>2401047</v>
      </c>
      <c r="E395" s="89" t="s">
        <v>20</v>
      </c>
      <c r="F395" s="89">
        <v>0.189</v>
      </c>
      <c r="G395" s="89">
        <v>0.81100000000000005</v>
      </c>
      <c r="H395" s="89" t="s">
        <v>33</v>
      </c>
      <c r="I395" s="89" t="b">
        <v>0</v>
      </c>
      <c r="J395" s="89"/>
      <c r="K395" s="89"/>
    </row>
    <row r="396" spans="1:11" x14ac:dyDescent="0.3">
      <c r="A396" s="89"/>
      <c r="B396" s="89"/>
      <c r="C396" s="89">
        <v>132</v>
      </c>
      <c r="D396" s="89">
        <v>2303173</v>
      </c>
      <c r="E396" s="89" t="s">
        <v>20</v>
      </c>
      <c r="F396" s="89">
        <v>0.1883</v>
      </c>
      <c r="G396" s="89">
        <v>0.81169999999999998</v>
      </c>
      <c r="H396" s="89" t="s">
        <v>47</v>
      </c>
      <c r="I396" s="89" t="b">
        <v>0</v>
      </c>
      <c r="J396" s="89"/>
      <c r="K396" s="89"/>
    </row>
    <row r="397" spans="1:11" x14ac:dyDescent="0.3">
      <c r="A397" s="89"/>
      <c r="B397" s="89"/>
      <c r="C397" s="89">
        <v>102</v>
      </c>
      <c r="D397" s="89">
        <v>1705120</v>
      </c>
      <c r="E397" s="89" t="s">
        <v>20</v>
      </c>
      <c r="F397" s="89">
        <v>0.18779999999999999</v>
      </c>
      <c r="G397" s="89">
        <v>0.81220000000000003</v>
      </c>
      <c r="H397" s="89" t="s">
        <v>31</v>
      </c>
      <c r="I397" s="89" t="b">
        <v>0</v>
      </c>
      <c r="J397" s="89"/>
      <c r="K397" s="89"/>
    </row>
    <row r="398" spans="1:11" x14ac:dyDescent="0.3">
      <c r="A398" s="89"/>
      <c r="B398" s="89"/>
      <c r="C398" s="89">
        <v>267</v>
      </c>
      <c r="D398" s="89">
        <v>2303345</v>
      </c>
      <c r="E398" s="89" t="s">
        <v>20</v>
      </c>
      <c r="F398" s="89">
        <v>0.18770000000000001</v>
      </c>
      <c r="G398" s="89">
        <v>0.81230000000000002</v>
      </c>
      <c r="H398" s="89" t="s">
        <v>31</v>
      </c>
      <c r="I398" s="89" t="b">
        <v>0</v>
      </c>
      <c r="J398" s="89"/>
      <c r="K398" s="89"/>
    </row>
    <row r="399" spans="1:11" x14ac:dyDescent="0.3">
      <c r="A399" s="89"/>
      <c r="B399" s="89"/>
      <c r="C399" s="89">
        <v>42</v>
      </c>
      <c r="D399" s="89">
        <v>2303051</v>
      </c>
      <c r="E399" s="89" t="s">
        <v>20</v>
      </c>
      <c r="F399" s="89">
        <v>0.18729999999999999</v>
      </c>
      <c r="G399" s="89">
        <v>0.81269999999999998</v>
      </c>
      <c r="H399" s="89" t="s">
        <v>31</v>
      </c>
      <c r="I399" s="89" t="b">
        <v>0</v>
      </c>
      <c r="J399" s="89"/>
      <c r="K399" s="89"/>
    </row>
    <row r="400" spans="1:11" x14ac:dyDescent="0.3">
      <c r="A400" s="89"/>
      <c r="B400" s="89"/>
      <c r="C400" s="89">
        <v>287</v>
      </c>
      <c r="D400" s="89">
        <v>1705386</v>
      </c>
      <c r="E400" s="89" t="s">
        <v>20</v>
      </c>
      <c r="F400" s="89">
        <v>0.18709999999999999</v>
      </c>
      <c r="G400" s="89">
        <v>0.81289999999999996</v>
      </c>
      <c r="H400" s="89" t="s">
        <v>26</v>
      </c>
      <c r="I400" s="89" t="b">
        <v>0</v>
      </c>
      <c r="J400" s="89"/>
      <c r="K400" s="89"/>
    </row>
    <row r="401" spans="1:11" x14ac:dyDescent="0.3">
      <c r="A401" s="89"/>
      <c r="B401" s="89"/>
      <c r="C401" s="89">
        <v>14</v>
      </c>
      <c r="D401" s="89">
        <v>1706020</v>
      </c>
      <c r="E401" s="89" t="s">
        <v>20</v>
      </c>
      <c r="F401" s="89">
        <v>0.18609999999999999</v>
      </c>
      <c r="G401" s="89">
        <v>0.81389999999999996</v>
      </c>
      <c r="H401" s="89" t="s">
        <v>31</v>
      </c>
      <c r="I401" s="89" t="b">
        <v>0</v>
      </c>
      <c r="J401" s="89"/>
      <c r="K401" s="89"/>
    </row>
    <row r="402" spans="1:11" x14ac:dyDescent="0.3">
      <c r="A402" s="89"/>
      <c r="B402" s="89"/>
      <c r="C402" s="89">
        <v>116</v>
      </c>
      <c r="D402" s="89">
        <v>2404156</v>
      </c>
      <c r="E402" s="89" t="s">
        <v>20</v>
      </c>
      <c r="F402" s="89">
        <v>0.186</v>
      </c>
      <c r="G402" s="89">
        <v>0.81399999999999995</v>
      </c>
      <c r="H402" s="89" t="s">
        <v>41</v>
      </c>
      <c r="I402" s="89" t="b">
        <v>0</v>
      </c>
      <c r="J402" s="89"/>
      <c r="K402" s="89"/>
    </row>
    <row r="403" spans="1:11" x14ac:dyDescent="0.3">
      <c r="A403" s="89"/>
      <c r="B403" s="89"/>
      <c r="C403" s="89">
        <v>52</v>
      </c>
      <c r="D403" s="89">
        <v>2303061</v>
      </c>
      <c r="E403" s="89" t="s">
        <v>20</v>
      </c>
      <c r="F403" s="89">
        <v>0.1855</v>
      </c>
      <c r="G403" s="89">
        <v>0.8145</v>
      </c>
      <c r="H403" s="89" t="s">
        <v>26</v>
      </c>
      <c r="I403" s="89" t="b">
        <v>0</v>
      </c>
      <c r="J403" s="89"/>
      <c r="K403" s="89"/>
    </row>
    <row r="404" spans="1:11" x14ac:dyDescent="0.3">
      <c r="A404" s="89"/>
      <c r="B404" s="89"/>
      <c r="C404" s="89">
        <v>95</v>
      </c>
      <c r="D404" s="89">
        <v>2401122</v>
      </c>
      <c r="E404" s="89" t="s">
        <v>20</v>
      </c>
      <c r="F404" s="89">
        <v>0.18490000000000001</v>
      </c>
      <c r="G404" s="89">
        <v>0.81510000000000005</v>
      </c>
      <c r="H404" s="89" t="s">
        <v>52</v>
      </c>
      <c r="I404" s="89" t="b">
        <v>0</v>
      </c>
      <c r="J404" s="89"/>
      <c r="K404" s="89"/>
    </row>
    <row r="405" spans="1:11" x14ac:dyDescent="0.3">
      <c r="A405" s="89"/>
      <c r="B405" s="89"/>
      <c r="C405" s="89">
        <v>6</v>
      </c>
      <c r="D405" s="89">
        <v>2401011</v>
      </c>
      <c r="E405" s="89" t="s">
        <v>20</v>
      </c>
      <c r="F405" s="89">
        <v>0.18479999999999999</v>
      </c>
      <c r="G405" s="89">
        <v>0.81520000000000004</v>
      </c>
      <c r="H405" s="89" t="s">
        <v>51</v>
      </c>
      <c r="I405" s="89" t="b">
        <v>0</v>
      </c>
      <c r="J405" s="89"/>
      <c r="K405" s="89"/>
    </row>
    <row r="406" spans="1:11" x14ac:dyDescent="0.3">
      <c r="A406" s="89"/>
      <c r="B406" s="89"/>
      <c r="C406" s="89">
        <v>181</v>
      </c>
      <c r="D406" s="89">
        <v>1706216</v>
      </c>
      <c r="E406" s="89" t="s">
        <v>20</v>
      </c>
      <c r="F406" s="89">
        <v>0.1837</v>
      </c>
      <c r="G406" s="89">
        <v>0.81630000000000003</v>
      </c>
      <c r="H406" s="89" t="s">
        <v>46</v>
      </c>
      <c r="I406" s="89" t="b">
        <v>0</v>
      </c>
      <c r="J406" s="89"/>
      <c r="K406" s="89"/>
    </row>
    <row r="407" spans="1:11" x14ac:dyDescent="0.3">
      <c r="A407" s="89"/>
      <c r="B407" s="89"/>
      <c r="C407" s="89">
        <v>117</v>
      </c>
      <c r="D407" s="89">
        <v>1706143</v>
      </c>
      <c r="E407" s="89" t="s">
        <v>20</v>
      </c>
      <c r="F407" s="89">
        <v>0.18340000000000001</v>
      </c>
      <c r="G407" s="89">
        <v>0.81659999999999999</v>
      </c>
      <c r="H407" s="89" t="s">
        <v>46</v>
      </c>
      <c r="I407" s="89" t="b">
        <v>0</v>
      </c>
      <c r="J407" s="89"/>
      <c r="K407" s="89"/>
    </row>
    <row r="408" spans="1:11" x14ac:dyDescent="0.3">
      <c r="A408" s="89"/>
      <c r="B408" s="89"/>
      <c r="C408" s="89">
        <v>40</v>
      </c>
      <c r="D408" s="89">
        <v>2401053</v>
      </c>
      <c r="E408" s="89" t="s">
        <v>20</v>
      </c>
      <c r="F408" s="89">
        <v>0.18310000000000001</v>
      </c>
      <c r="G408" s="89">
        <v>0.81689999999999996</v>
      </c>
      <c r="H408" s="89" t="s">
        <v>38</v>
      </c>
      <c r="I408" s="89" t="b">
        <v>0</v>
      </c>
      <c r="J408" s="89"/>
      <c r="K408" s="89"/>
    </row>
    <row r="409" spans="1:11" x14ac:dyDescent="0.3">
      <c r="A409" s="89"/>
      <c r="B409" s="89"/>
      <c r="C409" s="89">
        <v>23</v>
      </c>
      <c r="D409" s="89">
        <v>1706031</v>
      </c>
      <c r="E409" s="89" t="s">
        <v>20</v>
      </c>
      <c r="F409" s="89">
        <v>0.1827</v>
      </c>
      <c r="G409" s="89">
        <v>0.81730000000000003</v>
      </c>
      <c r="H409" s="89" t="s">
        <v>31</v>
      </c>
      <c r="I409" s="89" t="b">
        <v>0</v>
      </c>
      <c r="J409" s="89"/>
      <c r="K409" s="89"/>
    </row>
    <row r="410" spans="1:11" x14ac:dyDescent="0.3">
      <c r="A410" s="89"/>
      <c r="B410" s="89"/>
      <c r="C410" s="89">
        <v>51</v>
      </c>
      <c r="D410" s="89">
        <v>1705059</v>
      </c>
      <c r="E410" s="89" t="s">
        <v>20</v>
      </c>
      <c r="F410" s="89">
        <v>0.18240000000000001</v>
      </c>
      <c r="G410" s="89">
        <v>0.81759999999999999</v>
      </c>
      <c r="H410" s="89" t="s">
        <v>31</v>
      </c>
      <c r="I410" s="89" t="b">
        <v>0</v>
      </c>
      <c r="J410" s="89"/>
      <c r="K410" s="89"/>
    </row>
    <row r="411" spans="1:11" x14ac:dyDescent="0.3">
      <c r="A411" s="89"/>
      <c r="B411" s="89"/>
      <c r="C411" s="89">
        <v>11</v>
      </c>
      <c r="D411" s="89">
        <v>1705012</v>
      </c>
      <c r="E411" s="89" t="s">
        <v>20</v>
      </c>
      <c r="F411" s="89">
        <v>0.18149999999999999</v>
      </c>
      <c r="G411" s="89">
        <v>0.81850000000000001</v>
      </c>
      <c r="H411" s="89" t="s">
        <v>46</v>
      </c>
      <c r="I411" s="89" t="b">
        <v>0</v>
      </c>
      <c r="J411" s="89"/>
      <c r="K411" s="89"/>
    </row>
    <row r="412" spans="1:11" x14ac:dyDescent="0.3">
      <c r="A412" s="89"/>
      <c r="B412" s="89"/>
      <c r="C412" s="89">
        <v>124</v>
      </c>
      <c r="D412" s="89">
        <v>2303163</v>
      </c>
      <c r="E412" s="89" t="s">
        <v>20</v>
      </c>
      <c r="F412" s="89">
        <v>0.18079999999999999</v>
      </c>
      <c r="G412" s="89">
        <v>0.81920000000000004</v>
      </c>
      <c r="H412" s="89" t="s">
        <v>54</v>
      </c>
      <c r="I412" s="89" t="b">
        <v>0</v>
      </c>
      <c r="J412" s="89"/>
      <c r="K412" s="89"/>
    </row>
    <row r="413" spans="1:11" x14ac:dyDescent="0.3">
      <c r="A413" s="89"/>
      <c r="B413" s="89"/>
      <c r="C413" s="89">
        <v>38</v>
      </c>
      <c r="D413" s="89">
        <v>1705042</v>
      </c>
      <c r="E413" s="89" t="s">
        <v>20</v>
      </c>
      <c r="F413" s="89">
        <v>0.18029999999999999</v>
      </c>
      <c r="G413" s="89">
        <v>0.81969999999999998</v>
      </c>
      <c r="H413" s="89" t="s">
        <v>31</v>
      </c>
      <c r="I413" s="89" t="b">
        <v>0</v>
      </c>
      <c r="J413" s="89"/>
      <c r="K413" s="89"/>
    </row>
    <row r="414" spans="1:11" x14ac:dyDescent="0.3">
      <c r="A414" s="89"/>
      <c r="B414" s="89"/>
      <c r="C414" s="89">
        <v>6</v>
      </c>
      <c r="D414" s="89">
        <v>2303008</v>
      </c>
      <c r="E414" s="89" t="s">
        <v>20</v>
      </c>
      <c r="F414" s="89">
        <v>0.1802</v>
      </c>
      <c r="G414" s="89">
        <v>0.81979999999999997</v>
      </c>
      <c r="H414" s="89" t="s">
        <v>47</v>
      </c>
      <c r="I414" s="89" t="b">
        <v>0</v>
      </c>
      <c r="J414" s="89"/>
      <c r="K414" s="89"/>
    </row>
    <row r="415" spans="1:11" x14ac:dyDescent="0.3">
      <c r="A415" s="89"/>
      <c r="B415" s="89"/>
      <c r="C415" s="89">
        <v>217</v>
      </c>
      <c r="D415" s="89">
        <v>1705258</v>
      </c>
      <c r="E415" s="89" t="s">
        <v>20</v>
      </c>
      <c r="F415" s="89">
        <v>0.18</v>
      </c>
      <c r="G415" s="89">
        <v>0.82</v>
      </c>
      <c r="H415" s="89" t="s">
        <v>33</v>
      </c>
      <c r="I415" s="89" t="b">
        <v>0</v>
      </c>
      <c r="J415" s="89"/>
      <c r="K415" s="89"/>
    </row>
    <row r="416" spans="1:11" x14ac:dyDescent="0.3">
      <c r="A416" s="89"/>
      <c r="B416" s="89"/>
      <c r="C416" s="89">
        <v>265</v>
      </c>
      <c r="D416" s="89">
        <v>2303342</v>
      </c>
      <c r="E416" s="89" t="s">
        <v>20</v>
      </c>
      <c r="F416" s="89">
        <v>0.17929999999999999</v>
      </c>
      <c r="G416" s="89">
        <v>0.82069999999999999</v>
      </c>
      <c r="H416" s="89" t="s">
        <v>26</v>
      </c>
      <c r="I416" s="89" t="b">
        <v>0</v>
      </c>
      <c r="J416" s="89"/>
      <c r="K416" s="89"/>
    </row>
    <row r="417" spans="1:11" x14ac:dyDescent="0.3">
      <c r="A417" s="89"/>
      <c r="B417" s="89"/>
      <c r="C417" s="89">
        <v>92</v>
      </c>
      <c r="D417" s="89">
        <v>1706112</v>
      </c>
      <c r="E417" s="89" t="s">
        <v>20</v>
      </c>
      <c r="F417" s="89">
        <v>0.17910000000000001</v>
      </c>
      <c r="G417" s="89">
        <v>0.82089999999999996</v>
      </c>
      <c r="H417" s="89" t="s">
        <v>38</v>
      </c>
      <c r="I417" s="89" t="b">
        <v>0</v>
      </c>
      <c r="J417" s="89"/>
      <c r="K417" s="89"/>
    </row>
    <row r="418" spans="1:11" x14ac:dyDescent="0.3">
      <c r="A418" s="89"/>
      <c r="B418" s="89"/>
      <c r="C418" s="89">
        <v>49</v>
      </c>
      <c r="D418" s="89">
        <v>2404069</v>
      </c>
      <c r="E418" s="89" t="s">
        <v>20</v>
      </c>
      <c r="F418" s="89">
        <v>0.17899999999999999</v>
      </c>
      <c r="G418" s="89">
        <v>0.82099999999999995</v>
      </c>
      <c r="H418" s="89" t="s">
        <v>28</v>
      </c>
      <c r="I418" s="89" t="b">
        <v>0</v>
      </c>
      <c r="J418" s="89"/>
      <c r="K418" s="89"/>
    </row>
    <row r="419" spans="1:11" x14ac:dyDescent="0.3">
      <c r="A419" s="89"/>
      <c r="B419" s="89"/>
      <c r="C419" s="89">
        <v>101</v>
      </c>
      <c r="D419" s="89">
        <v>1705119</v>
      </c>
      <c r="E419" s="89" t="s">
        <v>20</v>
      </c>
      <c r="F419" s="89">
        <v>0.17760000000000001</v>
      </c>
      <c r="G419" s="89">
        <v>0.82240000000000002</v>
      </c>
      <c r="H419" s="89" t="s">
        <v>47</v>
      </c>
      <c r="I419" s="89" t="b">
        <v>0</v>
      </c>
      <c r="J419" s="89"/>
      <c r="K419" s="89"/>
    </row>
    <row r="420" spans="1:11" x14ac:dyDescent="0.3">
      <c r="A420" s="89"/>
      <c r="B420" s="89"/>
      <c r="C420" s="89">
        <v>274</v>
      </c>
      <c r="D420" s="89">
        <v>2303352</v>
      </c>
      <c r="E420" s="89" t="s">
        <v>20</v>
      </c>
      <c r="F420" s="89">
        <v>0.1774</v>
      </c>
      <c r="G420" s="89">
        <v>0.8226</v>
      </c>
      <c r="H420" s="89" t="s">
        <v>52</v>
      </c>
      <c r="I420" s="89" t="b">
        <v>0</v>
      </c>
      <c r="J420" s="89"/>
      <c r="K420" s="89"/>
    </row>
    <row r="421" spans="1:11" x14ac:dyDescent="0.3">
      <c r="A421" s="89"/>
      <c r="B421" s="89"/>
      <c r="C421" s="89">
        <v>94</v>
      </c>
      <c r="D421" s="89">
        <v>2303122</v>
      </c>
      <c r="E421" s="89" t="s">
        <v>20</v>
      </c>
      <c r="F421" s="89">
        <v>0.17610000000000001</v>
      </c>
      <c r="G421" s="89">
        <v>0.82389999999999997</v>
      </c>
      <c r="H421" s="89" t="s">
        <v>46</v>
      </c>
      <c r="I421" s="89" t="b">
        <v>0</v>
      </c>
      <c r="J421" s="89"/>
      <c r="K421" s="89"/>
    </row>
    <row r="422" spans="1:11" x14ac:dyDescent="0.3">
      <c r="A422" s="89"/>
      <c r="B422" s="89"/>
      <c r="C422" s="89">
        <v>202</v>
      </c>
      <c r="D422" s="89">
        <v>2303264</v>
      </c>
      <c r="E422" s="89" t="s">
        <v>20</v>
      </c>
      <c r="F422" s="89">
        <v>0.17599999999999999</v>
      </c>
      <c r="G422" s="89">
        <v>0.82399999999999995</v>
      </c>
      <c r="H422" s="89" t="s">
        <v>38</v>
      </c>
      <c r="I422" s="89" t="b">
        <v>0</v>
      </c>
      <c r="J422" s="89"/>
      <c r="K422" s="89"/>
    </row>
    <row r="423" spans="1:11" x14ac:dyDescent="0.3">
      <c r="A423" s="89"/>
      <c r="B423" s="89"/>
      <c r="C423" s="89">
        <v>101</v>
      </c>
      <c r="D423" s="89">
        <v>2404140</v>
      </c>
      <c r="E423" s="89" t="s">
        <v>20</v>
      </c>
      <c r="F423" s="89">
        <v>0.1759</v>
      </c>
      <c r="G423" s="89">
        <v>0.82410000000000005</v>
      </c>
      <c r="H423" s="89" t="s">
        <v>31</v>
      </c>
      <c r="I423" s="89" t="b">
        <v>0</v>
      </c>
      <c r="J423" s="89"/>
      <c r="K423" s="89"/>
    </row>
    <row r="424" spans="1:11" x14ac:dyDescent="0.3">
      <c r="A424" s="89"/>
      <c r="B424" s="89"/>
      <c r="C424" s="89">
        <v>27</v>
      </c>
      <c r="D424" s="89">
        <v>2303036</v>
      </c>
      <c r="E424" s="89" t="s">
        <v>20</v>
      </c>
      <c r="F424" s="89">
        <v>0.17530000000000001</v>
      </c>
      <c r="G424" s="89">
        <v>0.82469999999999999</v>
      </c>
      <c r="H424" s="89" t="s">
        <v>31</v>
      </c>
      <c r="I424" s="89" t="b">
        <v>0</v>
      </c>
      <c r="J424" s="89"/>
      <c r="K424" s="89"/>
    </row>
    <row r="425" spans="1:11" x14ac:dyDescent="0.3">
      <c r="A425" s="89"/>
      <c r="B425" s="89"/>
      <c r="C425" s="89">
        <v>10</v>
      </c>
      <c r="D425" s="89">
        <v>2303012</v>
      </c>
      <c r="E425" s="89" t="s">
        <v>20</v>
      </c>
      <c r="F425" s="89">
        <v>0.17499999999999999</v>
      </c>
      <c r="G425" s="89">
        <v>0.82499999999999996</v>
      </c>
      <c r="H425" s="89" t="s">
        <v>47</v>
      </c>
      <c r="I425" s="89" t="b">
        <v>0</v>
      </c>
      <c r="J425" s="89"/>
      <c r="K425" s="89"/>
    </row>
    <row r="426" spans="1:11" x14ac:dyDescent="0.3">
      <c r="A426" s="89"/>
      <c r="B426" s="89"/>
      <c r="C426" s="89">
        <v>177</v>
      </c>
      <c r="D426" s="89">
        <v>1705212</v>
      </c>
      <c r="E426" s="89" t="s">
        <v>20</v>
      </c>
      <c r="F426" s="89">
        <v>0.17399999999999999</v>
      </c>
      <c r="G426" s="89">
        <v>0.82599999999999996</v>
      </c>
      <c r="H426" s="89" t="s">
        <v>26</v>
      </c>
      <c r="I426" s="89" t="b">
        <v>0</v>
      </c>
      <c r="J426" s="89"/>
      <c r="K426" s="89"/>
    </row>
    <row r="427" spans="1:11" x14ac:dyDescent="0.3">
      <c r="A427" s="89"/>
      <c r="B427" s="89"/>
      <c r="C427" s="89">
        <v>177</v>
      </c>
      <c r="D427" s="89">
        <v>1706211</v>
      </c>
      <c r="E427" s="89" t="s">
        <v>20</v>
      </c>
      <c r="F427" s="89">
        <v>0.1739</v>
      </c>
      <c r="G427" s="89">
        <v>0.82609999999999995</v>
      </c>
      <c r="H427" s="89" t="s">
        <v>31</v>
      </c>
      <c r="I427" s="89" t="b">
        <v>0</v>
      </c>
      <c r="J427" s="89"/>
      <c r="K427" s="89"/>
    </row>
    <row r="428" spans="1:11" x14ac:dyDescent="0.3">
      <c r="A428" s="89"/>
      <c r="B428" s="89"/>
      <c r="C428" s="89">
        <v>193</v>
      </c>
      <c r="D428" s="89">
        <v>1705230</v>
      </c>
      <c r="E428" s="89" t="s">
        <v>20</v>
      </c>
      <c r="F428" s="89">
        <v>0.17369999999999999</v>
      </c>
      <c r="G428" s="89">
        <v>0.82630000000000003</v>
      </c>
      <c r="H428" s="89" t="s">
        <v>31</v>
      </c>
      <c r="I428" s="89" t="b">
        <v>0</v>
      </c>
      <c r="J428" s="89"/>
      <c r="K428" s="89"/>
    </row>
    <row r="429" spans="1:11" x14ac:dyDescent="0.3">
      <c r="A429" s="89"/>
      <c r="B429" s="89"/>
      <c r="C429" s="89">
        <v>170</v>
      </c>
      <c r="D429" s="89">
        <v>2303227</v>
      </c>
      <c r="E429" s="89" t="s">
        <v>20</v>
      </c>
      <c r="F429" s="89">
        <v>0.1734</v>
      </c>
      <c r="G429" s="89">
        <v>0.8266</v>
      </c>
      <c r="H429" s="89" t="s">
        <v>31</v>
      </c>
      <c r="I429" s="89" t="b">
        <v>0</v>
      </c>
      <c r="J429" s="89"/>
      <c r="K429" s="89"/>
    </row>
    <row r="430" spans="1:11" x14ac:dyDescent="0.3">
      <c r="A430" s="89"/>
      <c r="B430" s="89"/>
      <c r="C430" s="89">
        <v>80</v>
      </c>
      <c r="D430" s="89">
        <v>1705095</v>
      </c>
      <c r="E430" s="89" t="s">
        <v>20</v>
      </c>
      <c r="F430" s="89">
        <v>0.1731</v>
      </c>
      <c r="G430" s="89">
        <v>0.82689999999999997</v>
      </c>
      <c r="H430" s="89" t="s">
        <v>41</v>
      </c>
      <c r="I430" s="89" t="b">
        <v>0</v>
      </c>
      <c r="J430" s="89"/>
      <c r="K430" s="89"/>
    </row>
    <row r="431" spans="1:11" x14ac:dyDescent="0.3">
      <c r="A431" s="89"/>
      <c r="B431" s="89"/>
      <c r="C431" s="89">
        <v>183</v>
      </c>
      <c r="D431" s="89">
        <v>2303241</v>
      </c>
      <c r="E431" s="89" t="s">
        <v>20</v>
      </c>
      <c r="F431" s="89">
        <v>0.17299999999999999</v>
      </c>
      <c r="G431" s="89">
        <v>0.82699999999999996</v>
      </c>
      <c r="H431" s="89" t="s">
        <v>31</v>
      </c>
      <c r="I431" s="89" t="b">
        <v>0</v>
      </c>
      <c r="J431" s="89"/>
      <c r="K431" s="89"/>
    </row>
    <row r="432" spans="1:11" x14ac:dyDescent="0.3">
      <c r="A432" s="89"/>
      <c r="B432" s="89"/>
      <c r="C432" s="89">
        <v>23</v>
      </c>
      <c r="D432" s="89">
        <v>2404036</v>
      </c>
      <c r="E432" s="89" t="s">
        <v>20</v>
      </c>
      <c r="F432" s="89">
        <v>0.17269999999999999</v>
      </c>
      <c r="G432" s="89">
        <v>0.82730000000000004</v>
      </c>
      <c r="H432" s="89" t="s">
        <v>33</v>
      </c>
      <c r="I432" s="89" t="b">
        <v>0</v>
      </c>
      <c r="J432" s="89"/>
      <c r="K432" s="89"/>
    </row>
    <row r="433" spans="1:11" x14ac:dyDescent="0.3">
      <c r="A433" s="89"/>
      <c r="B433" s="89"/>
      <c r="C433" s="89">
        <v>90</v>
      </c>
      <c r="D433" s="89">
        <v>1705106</v>
      </c>
      <c r="E433" s="89" t="s">
        <v>20</v>
      </c>
      <c r="F433" s="89">
        <v>0.1726</v>
      </c>
      <c r="G433" s="89">
        <v>0.82740000000000002</v>
      </c>
      <c r="H433" s="89" t="s">
        <v>31</v>
      </c>
      <c r="I433" s="89" t="b">
        <v>0</v>
      </c>
      <c r="J433" s="89"/>
      <c r="K433" s="89"/>
    </row>
    <row r="434" spans="1:11" x14ac:dyDescent="0.3">
      <c r="A434" s="89"/>
      <c r="B434" s="89"/>
      <c r="C434" s="89">
        <v>262</v>
      </c>
      <c r="D434" s="89">
        <v>1705327</v>
      </c>
      <c r="E434" s="89" t="s">
        <v>20</v>
      </c>
      <c r="F434" s="89">
        <v>0.17230000000000001</v>
      </c>
      <c r="G434" s="89">
        <v>0.82769999999999999</v>
      </c>
      <c r="H434" s="89" t="s">
        <v>31</v>
      </c>
      <c r="I434" s="89" t="b">
        <v>0</v>
      </c>
      <c r="J434" s="89"/>
      <c r="K434" s="89"/>
    </row>
    <row r="435" spans="1:11" x14ac:dyDescent="0.3">
      <c r="A435" s="89"/>
      <c r="B435" s="89"/>
      <c r="C435" s="89">
        <v>277</v>
      </c>
      <c r="D435" s="89">
        <v>2303355</v>
      </c>
      <c r="E435" s="89" t="s">
        <v>20</v>
      </c>
      <c r="F435" s="89">
        <v>0.1719</v>
      </c>
      <c r="G435" s="89">
        <v>0.82809999999999995</v>
      </c>
      <c r="H435" s="89" t="s">
        <v>31</v>
      </c>
      <c r="I435" s="89" t="b">
        <v>0</v>
      </c>
      <c r="J435" s="89"/>
      <c r="K435" s="89"/>
    </row>
    <row r="436" spans="1:11" x14ac:dyDescent="0.3">
      <c r="A436" s="89"/>
      <c r="B436" s="89"/>
      <c r="C436" s="89">
        <v>122</v>
      </c>
      <c r="D436" s="89">
        <v>1706149</v>
      </c>
      <c r="E436" s="89" t="s">
        <v>20</v>
      </c>
      <c r="F436" s="89">
        <v>0.17180000000000001</v>
      </c>
      <c r="G436" s="89">
        <v>0.82820000000000005</v>
      </c>
      <c r="H436" s="89" t="s">
        <v>38</v>
      </c>
      <c r="I436" s="89" t="b">
        <v>0</v>
      </c>
      <c r="J436" s="89"/>
      <c r="K436" s="89"/>
    </row>
    <row r="437" spans="1:11" x14ac:dyDescent="0.3">
      <c r="A437" s="89"/>
      <c r="B437" s="89"/>
      <c r="C437" s="89">
        <v>198</v>
      </c>
      <c r="D437" s="89">
        <v>1706234</v>
      </c>
      <c r="E437" s="89" t="s">
        <v>20</v>
      </c>
      <c r="F437" s="89">
        <v>0.17080000000000001</v>
      </c>
      <c r="G437" s="89">
        <v>0.82920000000000005</v>
      </c>
      <c r="H437" s="89" t="s">
        <v>31</v>
      </c>
      <c r="I437" s="89" t="b">
        <v>0</v>
      </c>
      <c r="J437" s="89"/>
      <c r="K437" s="89"/>
    </row>
    <row r="438" spans="1:11" x14ac:dyDescent="0.3">
      <c r="A438" s="89"/>
      <c r="B438" s="89"/>
      <c r="C438" s="89">
        <v>113</v>
      </c>
      <c r="D438" s="89">
        <v>2303149</v>
      </c>
      <c r="E438" s="89" t="s">
        <v>20</v>
      </c>
      <c r="F438" s="89">
        <v>0.1696</v>
      </c>
      <c r="G438" s="89">
        <v>0.83040000000000003</v>
      </c>
      <c r="H438" s="89" t="s">
        <v>31</v>
      </c>
      <c r="I438" s="89" t="b">
        <v>0</v>
      </c>
      <c r="J438" s="89"/>
      <c r="K438" s="89"/>
    </row>
    <row r="439" spans="1:11" x14ac:dyDescent="0.3">
      <c r="A439" s="89"/>
      <c r="B439" s="89"/>
      <c r="C439" s="89">
        <v>160</v>
      </c>
      <c r="D439" s="89">
        <v>1705185</v>
      </c>
      <c r="E439" s="89" t="s">
        <v>20</v>
      </c>
      <c r="F439" s="89">
        <v>0.16950000000000001</v>
      </c>
      <c r="G439" s="89">
        <v>0.83050000000000002</v>
      </c>
      <c r="H439" s="89" t="s">
        <v>31</v>
      </c>
      <c r="I439" s="89" t="b">
        <v>0</v>
      </c>
      <c r="J439" s="89"/>
      <c r="K439" s="89"/>
    </row>
    <row r="440" spans="1:11" x14ac:dyDescent="0.3">
      <c r="A440" s="89"/>
      <c r="B440" s="89"/>
      <c r="C440" s="89">
        <v>31</v>
      </c>
      <c r="D440" s="89">
        <v>1706039</v>
      </c>
      <c r="E440" s="89" t="s">
        <v>20</v>
      </c>
      <c r="F440" s="89">
        <v>0.16900000000000001</v>
      </c>
      <c r="G440" s="89">
        <v>0.83099999999999996</v>
      </c>
      <c r="H440" s="89" t="s">
        <v>38</v>
      </c>
      <c r="I440" s="89" t="b">
        <v>0</v>
      </c>
      <c r="J440" s="89"/>
      <c r="K440" s="89"/>
    </row>
    <row r="441" spans="1:11" x14ac:dyDescent="0.3">
      <c r="A441" s="89"/>
      <c r="B441" s="89"/>
      <c r="C441" s="89">
        <v>33</v>
      </c>
      <c r="D441" s="89">
        <v>2404050</v>
      </c>
      <c r="E441" s="89" t="s">
        <v>20</v>
      </c>
      <c r="F441" s="89">
        <v>0.16719999999999999</v>
      </c>
      <c r="G441" s="89">
        <v>0.83279999999999998</v>
      </c>
      <c r="H441" s="89" t="s">
        <v>41</v>
      </c>
      <c r="I441" s="89" t="b">
        <v>0</v>
      </c>
      <c r="J441" s="89"/>
      <c r="K441" s="89"/>
    </row>
    <row r="442" spans="1:11" x14ac:dyDescent="0.3">
      <c r="A442" s="89"/>
      <c r="B442" s="89"/>
      <c r="C442" s="89">
        <v>81</v>
      </c>
      <c r="D442" s="89">
        <v>1705096</v>
      </c>
      <c r="E442" s="89" t="s">
        <v>20</v>
      </c>
      <c r="F442" s="89">
        <v>0.1671</v>
      </c>
      <c r="G442" s="89">
        <v>0.83289999999999997</v>
      </c>
      <c r="H442" s="89" t="s">
        <v>52</v>
      </c>
      <c r="I442" s="89" t="b">
        <v>0</v>
      </c>
      <c r="J442" s="89"/>
      <c r="K442" s="89"/>
    </row>
    <row r="443" spans="1:11" x14ac:dyDescent="0.3">
      <c r="A443" s="89"/>
      <c r="B443" s="89"/>
      <c r="C443" s="89">
        <v>180</v>
      </c>
      <c r="D443" s="89">
        <v>1705216</v>
      </c>
      <c r="E443" s="89" t="s">
        <v>20</v>
      </c>
      <c r="F443" s="89">
        <v>0.16689999999999999</v>
      </c>
      <c r="G443" s="89">
        <v>0.83309999999999995</v>
      </c>
      <c r="H443" s="89" t="s">
        <v>31</v>
      </c>
      <c r="I443" s="89" t="b">
        <v>0</v>
      </c>
      <c r="J443" s="89"/>
      <c r="K443" s="89"/>
    </row>
    <row r="444" spans="1:11" x14ac:dyDescent="0.3">
      <c r="A444" s="89"/>
      <c r="B444" s="89"/>
      <c r="C444" s="89">
        <v>120</v>
      </c>
      <c r="D444" s="89">
        <v>1706146</v>
      </c>
      <c r="E444" s="89" t="s">
        <v>20</v>
      </c>
      <c r="F444" s="89">
        <v>0.16669999999999999</v>
      </c>
      <c r="G444" s="89">
        <v>0.83330000000000004</v>
      </c>
      <c r="H444" s="89" t="s">
        <v>31</v>
      </c>
      <c r="I444" s="89" t="b">
        <v>0</v>
      </c>
      <c r="J444" s="89"/>
      <c r="K444" s="89"/>
    </row>
    <row r="445" spans="1:11" x14ac:dyDescent="0.3">
      <c r="A445" s="89"/>
      <c r="B445" s="89"/>
      <c r="C445" s="89">
        <v>257</v>
      </c>
      <c r="D445" s="89">
        <v>2303334</v>
      </c>
      <c r="E445" s="89" t="s">
        <v>20</v>
      </c>
      <c r="F445" s="89">
        <v>0.16619999999999999</v>
      </c>
      <c r="G445" s="89">
        <v>0.83379999999999999</v>
      </c>
      <c r="H445" s="89" t="s">
        <v>52</v>
      </c>
      <c r="I445" s="89" t="b">
        <v>0</v>
      </c>
      <c r="J445" s="89"/>
      <c r="K445" s="89"/>
    </row>
    <row r="446" spans="1:11" x14ac:dyDescent="0.3">
      <c r="A446" s="89"/>
      <c r="B446" s="89"/>
      <c r="C446" s="89">
        <v>189</v>
      </c>
      <c r="D446" s="89">
        <v>1706224</v>
      </c>
      <c r="E446" s="89" t="s">
        <v>20</v>
      </c>
      <c r="F446" s="89">
        <v>0.16589999999999999</v>
      </c>
      <c r="G446" s="89">
        <v>0.83409999999999995</v>
      </c>
      <c r="H446" s="89" t="s">
        <v>47</v>
      </c>
      <c r="I446" s="89" t="b">
        <v>0</v>
      </c>
      <c r="J446" s="89"/>
      <c r="K446" s="89"/>
    </row>
    <row r="447" spans="1:11" x14ac:dyDescent="0.3">
      <c r="A447" s="89"/>
      <c r="B447" s="89"/>
      <c r="C447" s="89">
        <v>151</v>
      </c>
      <c r="D447" s="89">
        <v>2303204</v>
      </c>
      <c r="E447" s="89" t="s">
        <v>20</v>
      </c>
      <c r="F447" s="89">
        <v>0.1658</v>
      </c>
      <c r="G447" s="89">
        <v>0.83420000000000005</v>
      </c>
      <c r="H447" s="89" t="s">
        <v>46</v>
      </c>
      <c r="I447" s="89" t="b">
        <v>0</v>
      </c>
      <c r="J447" s="89"/>
      <c r="K447" s="89"/>
    </row>
    <row r="448" spans="1:11" x14ac:dyDescent="0.3">
      <c r="A448" s="89"/>
      <c r="B448" s="89"/>
      <c r="C448" s="89">
        <v>296</v>
      </c>
      <c r="D448" s="89">
        <v>2303375</v>
      </c>
      <c r="E448" s="89" t="s">
        <v>20</v>
      </c>
      <c r="F448" s="89">
        <v>0.16520000000000001</v>
      </c>
      <c r="G448" s="89">
        <v>0.83479999999999999</v>
      </c>
      <c r="H448" s="89" t="s">
        <v>38</v>
      </c>
      <c r="I448" s="89" t="b">
        <v>0</v>
      </c>
      <c r="J448" s="89"/>
      <c r="K448" s="89"/>
    </row>
    <row r="449" spans="1:11" x14ac:dyDescent="0.3">
      <c r="A449" s="89"/>
      <c r="B449" s="89"/>
      <c r="C449" s="89">
        <v>73</v>
      </c>
      <c r="D449" s="89">
        <v>2401092</v>
      </c>
      <c r="E449" s="89" t="s">
        <v>20</v>
      </c>
      <c r="F449" s="89">
        <v>0.16489999999999999</v>
      </c>
      <c r="G449" s="89">
        <v>0.83509999999999995</v>
      </c>
      <c r="H449" s="89" t="s">
        <v>31</v>
      </c>
      <c r="I449" s="89" t="b">
        <v>0</v>
      </c>
      <c r="J449" s="89"/>
      <c r="K449" s="89"/>
    </row>
    <row r="450" spans="1:11" x14ac:dyDescent="0.3">
      <c r="A450" s="89"/>
      <c r="B450" s="89"/>
      <c r="C450" s="89">
        <v>258</v>
      </c>
      <c r="D450" s="89">
        <v>2303335</v>
      </c>
      <c r="E450" s="89" t="s">
        <v>20</v>
      </c>
      <c r="F450" s="89">
        <v>0.16450000000000001</v>
      </c>
      <c r="G450" s="89">
        <v>0.83550000000000002</v>
      </c>
      <c r="H450" s="89" t="s">
        <v>28</v>
      </c>
      <c r="I450" s="89" t="b">
        <v>0</v>
      </c>
      <c r="J450" s="89"/>
      <c r="K450" s="89"/>
    </row>
    <row r="451" spans="1:11" x14ac:dyDescent="0.3">
      <c r="A451" s="89"/>
      <c r="B451" s="89"/>
      <c r="C451" s="89">
        <v>4</v>
      </c>
      <c r="D451" s="89">
        <v>2401009</v>
      </c>
      <c r="E451" s="89" t="s">
        <v>20</v>
      </c>
      <c r="F451" s="89">
        <v>0.16450000000000001</v>
      </c>
      <c r="G451" s="89">
        <v>0.83550000000000002</v>
      </c>
      <c r="H451" s="89" t="s">
        <v>26</v>
      </c>
      <c r="I451" s="89" t="b">
        <v>0</v>
      </c>
      <c r="J451" s="89"/>
      <c r="K451" s="89"/>
    </row>
    <row r="452" spans="1:11" x14ac:dyDescent="0.3">
      <c r="A452" s="89"/>
      <c r="B452" s="89"/>
      <c r="C452" s="89">
        <v>151</v>
      </c>
      <c r="D452" s="89">
        <v>1705175</v>
      </c>
      <c r="E452" s="89" t="s">
        <v>20</v>
      </c>
      <c r="F452" s="89">
        <v>0.1643</v>
      </c>
      <c r="G452" s="89">
        <v>0.8357</v>
      </c>
      <c r="H452" s="89" t="s">
        <v>38</v>
      </c>
      <c r="I452" s="89" t="b">
        <v>0</v>
      </c>
      <c r="J452" s="89"/>
      <c r="K452" s="89"/>
    </row>
    <row r="453" spans="1:11" x14ac:dyDescent="0.3">
      <c r="A453" s="89"/>
      <c r="B453" s="89"/>
      <c r="C453" s="89">
        <v>22</v>
      </c>
      <c r="D453" s="89">
        <v>2303028</v>
      </c>
      <c r="E453" s="89" t="s">
        <v>20</v>
      </c>
      <c r="F453" s="89">
        <v>0.1641</v>
      </c>
      <c r="G453" s="89">
        <v>0.83589999999999998</v>
      </c>
      <c r="H453" s="89" t="s">
        <v>33</v>
      </c>
      <c r="I453" s="89" t="b">
        <v>0</v>
      </c>
      <c r="J453" s="89"/>
      <c r="K453" s="89"/>
    </row>
    <row r="454" spans="1:11" x14ac:dyDescent="0.3">
      <c r="A454" s="89"/>
      <c r="B454" s="89"/>
      <c r="C454" s="89">
        <v>53</v>
      </c>
      <c r="D454" s="89">
        <v>1705061</v>
      </c>
      <c r="E454" s="89" t="s">
        <v>20</v>
      </c>
      <c r="F454" s="89">
        <v>0.16339999999999999</v>
      </c>
      <c r="G454" s="89">
        <v>0.83660000000000001</v>
      </c>
      <c r="H454" s="89" t="s">
        <v>31</v>
      </c>
      <c r="I454" s="89" t="b">
        <v>0</v>
      </c>
      <c r="J454" s="89"/>
      <c r="K454" s="89"/>
    </row>
    <row r="455" spans="1:11" x14ac:dyDescent="0.3">
      <c r="A455" s="89"/>
      <c r="B455" s="89"/>
      <c r="C455" s="89">
        <v>32</v>
      </c>
      <c r="D455" s="89">
        <v>2404048</v>
      </c>
      <c r="E455" s="89" t="s">
        <v>20</v>
      </c>
      <c r="F455" s="89">
        <v>0.16289999999999999</v>
      </c>
      <c r="G455" s="89">
        <v>0.83709999999999996</v>
      </c>
      <c r="H455" s="89" t="s">
        <v>26</v>
      </c>
      <c r="I455" s="89" t="b">
        <v>0</v>
      </c>
      <c r="J455" s="89"/>
      <c r="K455" s="89"/>
    </row>
    <row r="456" spans="1:11" x14ac:dyDescent="0.3">
      <c r="A456" s="89"/>
      <c r="B456" s="89"/>
      <c r="C456" s="89">
        <v>109</v>
      </c>
      <c r="D456" s="89">
        <v>1705129</v>
      </c>
      <c r="E456" s="89" t="s">
        <v>20</v>
      </c>
      <c r="F456" s="89">
        <v>0.16270000000000001</v>
      </c>
      <c r="G456" s="89">
        <v>0.83730000000000004</v>
      </c>
      <c r="H456" s="89" t="s">
        <v>31</v>
      </c>
      <c r="I456" s="89" t="b">
        <v>0</v>
      </c>
      <c r="J456" s="89"/>
      <c r="K456" s="89"/>
    </row>
    <row r="457" spans="1:11" x14ac:dyDescent="0.3">
      <c r="A457" s="89"/>
      <c r="B457" s="89"/>
      <c r="C457" s="89">
        <v>115</v>
      </c>
      <c r="D457" s="89">
        <v>1705135</v>
      </c>
      <c r="E457" s="89" t="s">
        <v>20</v>
      </c>
      <c r="F457" s="89">
        <v>0.1618</v>
      </c>
      <c r="G457" s="89">
        <v>0.83819999999999995</v>
      </c>
      <c r="H457" s="89" t="s">
        <v>31</v>
      </c>
      <c r="I457" s="89" t="b">
        <v>0</v>
      </c>
      <c r="J457" s="89"/>
      <c r="K457" s="89"/>
    </row>
    <row r="458" spans="1:11" x14ac:dyDescent="0.3">
      <c r="A458" s="89"/>
      <c r="B458" s="89"/>
      <c r="C458" s="89">
        <v>139</v>
      </c>
      <c r="D458" s="89">
        <v>1705162</v>
      </c>
      <c r="E458" s="89" t="s">
        <v>20</v>
      </c>
      <c r="F458" s="89">
        <v>0.1615</v>
      </c>
      <c r="G458" s="89">
        <v>0.83850000000000002</v>
      </c>
      <c r="H458" s="89" t="s">
        <v>31</v>
      </c>
      <c r="I458" s="89" t="b">
        <v>0</v>
      </c>
      <c r="J458" s="89"/>
      <c r="K458" s="89"/>
    </row>
    <row r="459" spans="1:11" x14ac:dyDescent="0.3">
      <c r="A459" s="89"/>
      <c r="B459" s="89"/>
      <c r="C459" s="89">
        <v>85</v>
      </c>
      <c r="D459" s="89">
        <v>1705100</v>
      </c>
      <c r="E459" s="89" t="s">
        <v>20</v>
      </c>
      <c r="F459" s="89">
        <v>0.16089999999999999</v>
      </c>
      <c r="G459" s="89">
        <v>0.83909999999999996</v>
      </c>
      <c r="H459" s="89" t="s">
        <v>52</v>
      </c>
      <c r="I459" s="89" t="b">
        <v>0</v>
      </c>
      <c r="J459" s="89"/>
      <c r="K459" s="89"/>
    </row>
    <row r="460" spans="1:11" x14ac:dyDescent="0.3">
      <c r="A460" s="89"/>
      <c r="B460" s="89"/>
      <c r="C460" s="89">
        <v>49</v>
      </c>
      <c r="D460" s="89">
        <v>1705057</v>
      </c>
      <c r="E460" s="89" t="s">
        <v>20</v>
      </c>
      <c r="F460" s="89">
        <v>0.1608</v>
      </c>
      <c r="G460" s="89">
        <v>0.83919999999999995</v>
      </c>
      <c r="H460" s="89" t="s">
        <v>52</v>
      </c>
      <c r="I460" s="89" t="b">
        <v>0</v>
      </c>
      <c r="J460" s="89"/>
      <c r="K460" s="89"/>
    </row>
    <row r="461" spans="1:11" x14ac:dyDescent="0.3">
      <c r="A461" s="89"/>
      <c r="B461" s="89"/>
      <c r="C461" s="89">
        <v>135</v>
      </c>
      <c r="D461" s="89">
        <v>1705158</v>
      </c>
      <c r="E461" s="89" t="s">
        <v>20</v>
      </c>
      <c r="F461" s="89">
        <v>0.1605</v>
      </c>
      <c r="G461" s="89">
        <v>0.83950000000000002</v>
      </c>
      <c r="H461" s="89" t="s">
        <v>31</v>
      </c>
      <c r="I461" s="89" t="b">
        <v>0</v>
      </c>
      <c r="J461" s="89"/>
      <c r="K461" s="89"/>
    </row>
    <row r="462" spans="1:11" x14ac:dyDescent="0.3">
      <c r="A462" s="89"/>
      <c r="B462" s="89"/>
      <c r="C462" s="89">
        <v>68</v>
      </c>
      <c r="D462" s="89">
        <v>2404094</v>
      </c>
      <c r="E462" s="89" t="s">
        <v>20</v>
      </c>
      <c r="F462" s="89">
        <v>0.1605</v>
      </c>
      <c r="G462" s="89">
        <v>0.83950000000000002</v>
      </c>
      <c r="H462" s="89" t="s">
        <v>52</v>
      </c>
      <c r="I462" s="89" t="b">
        <v>0</v>
      </c>
      <c r="J462" s="89"/>
      <c r="K462" s="89"/>
    </row>
    <row r="463" spans="1:11" x14ac:dyDescent="0.3">
      <c r="A463" s="89"/>
      <c r="B463" s="89"/>
      <c r="C463" s="89">
        <v>140</v>
      </c>
      <c r="D463" s="89">
        <v>1705163</v>
      </c>
      <c r="E463" s="89" t="s">
        <v>20</v>
      </c>
      <c r="F463" s="89">
        <v>0.16020000000000001</v>
      </c>
      <c r="G463" s="89">
        <v>0.83979999999999999</v>
      </c>
      <c r="H463" s="89" t="s">
        <v>38</v>
      </c>
      <c r="I463" s="89" t="b">
        <v>0</v>
      </c>
      <c r="J463" s="89"/>
      <c r="K463" s="89"/>
    </row>
    <row r="464" spans="1:11" x14ac:dyDescent="0.3">
      <c r="A464" s="89"/>
      <c r="B464" s="89"/>
      <c r="C464" s="89">
        <v>70</v>
      </c>
      <c r="D464" s="89">
        <v>2404097</v>
      </c>
      <c r="E464" s="89" t="s">
        <v>20</v>
      </c>
      <c r="F464" s="89">
        <v>0.1593</v>
      </c>
      <c r="G464" s="89">
        <v>0.8407</v>
      </c>
      <c r="H464" s="89" t="s">
        <v>47</v>
      </c>
      <c r="I464" s="89" t="b">
        <v>0</v>
      </c>
      <c r="J464" s="89"/>
      <c r="K464" s="89"/>
    </row>
    <row r="465" spans="1:11" x14ac:dyDescent="0.3">
      <c r="A465" s="89"/>
      <c r="B465" s="89"/>
      <c r="C465" s="89">
        <v>8</v>
      </c>
      <c r="D465" s="89">
        <v>1705009</v>
      </c>
      <c r="E465" s="89" t="s">
        <v>20</v>
      </c>
      <c r="F465" s="89">
        <v>0.1585</v>
      </c>
      <c r="G465" s="89">
        <v>0.84150000000000003</v>
      </c>
      <c r="H465" s="89" t="s">
        <v>46</v>
      </c>
      <c r="I465" s="89" t="b">
        <v>0</v>
      </c>
      <c r="J465" s="89"/>
      <c r="K465" s="89"/>
    </row>
    <row r="466" spans="1:11" x14ac:dyDescent="0.3">
      <c r="A466" s="89"/>
      <c r="B466" s="89"/>
      <c r="C466" s="89">
        <v>24</v>
      </c>
      <c r="D466" s="89">
        <v>2303030</v>
      </c>
      <c r="E466" s="89" t="s">
        <v>20</v>
      </c>
      <c r="F466" s="89">
        <v>0.1583</v>
      </c>
      <c r="G466" s="89">
        <v>0.8417</v>
      </c>
      <c r="H466" s="89" t="s">
        <v>28</v>
      </c>
      <c r="I466" s="89" t="b">
        <v>0</v>
      </c>
      <c r="J466" s="89"/>
      <c r="K466" s="89"/>
    </row>
    <row r="467" spans="1:11" x14ac:dyDescent="0.3">
      <c r="A467" s="89"/>
      <c r="B467" s="89"/>
      <c r="C467" s="89">
        <v>62</v>
      </c>
      <c r="D467" s="89">
        <v>2404088</v>
      </c>
      <c r="E467" s="89" t="s">
        <v>20</v>
      </c>
      <c r="F467" s="89">
        <v>0.1573</v>
      </c>
      <c r="G467" s="89">
        <v>0.8427</v>
      </c>
      <c r="H467" s="89" t="s">
        <v>26</v>
      </c>
      <c r="I467" s="89" t="b">
        <v>0</v>
      </c>
      <c r="J467" s="89"/>
      <c r="K467" s="89"/>
    </row>
    <row r="468" spans="1:11" x14ac:dyDescent="0.3">
      <c r="A468" s="89"/>
      <c r="B468" s="89"/>
      <c r="C468" s="89">
        <v>194</v>
      </c>
      <c r="D468" s="89">
        <v>1705231</v>
      </c>
      <c r="E468" s="89" t="s">
        <v>20</v>
      </c>
      <c r="F468" s="89">
        <v>0.157</v>
      </c>
      <c r="G468" s="89">
        <v>0.84299999999999997</v>
      </c>
      <c r="H468" s="89" t="s">
        <v>31</v>
      </c>
      <c r="I468" s="89" t="b">
        <v>0</v>
      </c>
      <c r="J468" s="89"/>
      <c r="K468" s="89"/>
    </row>
    <row r="469" spans="1:11" x14ac:dyDescent="0.3">
      <c r="A469" s="89"/>
      <c r="B469" s="89"/>
      <c r="C469" s="89">
        <v>80</v>
      </c>
      <c r="D469" s="89">
        <v>2401102</v>
      </c>
      <c r="E469" s="89" t="s">
        <v>20</v>
      </c>
      <c r="F469" s="89">
        <v>0.1565</v>
      </c>
      <c r="G469" s="89">
        <v>0.84350000000000003</v>
      </c>
      <c r="H469" s="89" t="s">
        <v>38</v>
      </c>
      <c r="I469" s="89" t="b">
        <v>0</v>
      </c>
      <c r="J469" s="89"/>
      <c r="K469" s="89"/>
    </row>
    <row r="470" spans="1:11" x14ac:dyDescent="0.3">
      <c r="A470" s="89"/>
      <c r="B470" s="89"/>
      <c r="C470" s="89">
        <v>261</v>
      </c>
      <c r="D470" s="89">
        <v>1706334</v>
      </c>
      <c r="E470" s="89" t="s">
        <v>20</v>
      </c>
      <c r="F470" s="89">
        <v>0.15640000000000001</v>
      </c>
      <c r="G470" s="89">
        <v>0.84360000000000002</v>
      </c>
      <c r="H470" s="89" t="s">
        <v>47</v>
      </c>
      <c r="I470" s="89" t="b">
        <v>0</v>
      </c>
      <c r="J470" s="89"/>
      <c r="K470" s="89"/>
    </row>
    <row r="471" spans="1:11" ht="14.4" customHeight="1" x14ac:dyDescent="0.35">
      <c r="A471" s="87" t="s">
        <v>25</v>
      </c>
      <c r="B471" s="89"/>
      <c r="C471" s="15">
        <v>35</v>
      </c>
      <c r="D471" s="15">
        <v>1706044</v>
      </c>
      <c r="E471" s="15" t="s">
        <v>20</v>
      </c>
      <c r="F471" s="15">
        <v>0.156</v>
      </c>
      <c r="G471" s="15">
        <v>0.84399999999999997</v>
      </c>
      <c r="H471" s="15" t="s">
        <v>19</v>
      </c>
      <c r="I471" s="15" t="b">
        <v>0</v>
      </c>
      <c r="J471" s="89"/>
      <c r="K471" s="89" t="s">
        <v>78</v>
      </c>
    </row>
    <row r="472" spans="1:11" x14ac:dyDescent="0.3">
      <c r="A472" s="89"/>
      <c r="B472" s="89"/>
      <c r="C472" s="89">
        <v>115</v>
      </c>
      <c r="D472" s="89">
        <v>1706141</v>
      </c>
      <c r="E472" s="89" t="s">
        <v>20</v>
      </c>
      <c r="F472" s="89">
        <v>0.156</v>
      </c>
      <c r="G472" s="89">
        <v>0.84399999999999997</v>
      </c>
      <c r="H472" s="89" t="s">
        <v>31</v>
      </c>
      <c r="I472" s="89" t="b">
        <v>0</v>
      </c>
      <c r="J472" s="89"/>
      <c r="K472" s="89"/>
    </row>
    <row r="473" spans="1:11" x14ac:dyDescent="0.3">
      <c r="A473" s="89"/>
      <c r="B473" s="89"/>
      <c r="C473" s="89">
        <v>114</v>
      </c>
      <c r="D473" s="89">
        <v>1705134</v>
      </c>
      <c r="E473" s="89" t="s">
        <v>20</v>
      </c>
      <c r="F473" s="89">
        <v>0.15590000000000001</v>
      </c>
      <c r="G473" s="89">
        <v>0.84409999999999996</v>
      </c>
      <c r="H473" s="89" t="s">
        <v>31</v>
      </c>
      <c r="I473" s="89" t="b">
        <v>0</v>
      </c>
      <c r="J473" s="89"/>
      <c r="K473" s="89"/>
    </row>
    <row r="474" spans="1:11" x14ac:dyDescent="0.3">
      <c r="A474" s="89"/>
      <c r="B474" s="89"/>
      <c r="C474" s="89">
        <v>53</v>
      </c>
      <c r="D474" s="89">
        <v>2404073</v>
      </c>
      <c r="E474" s="89" t="s">
        <v>20</v>
      </c>
      <c r="F474" s="89">
        <v>0.15570000000000001</v>
      </c>
      <c r="G474" s="89">
        <v>0.84430000000000005</v>
      </c>
      <c r="H474" s="89" t="s">
        <v>55</v>
      </c>
      <c r="I474" s="89" t="b">
        <v>0</v>
      </c>
      <c r="J474" s="89"/>
      <c r="K474" s="89"/>
    </row>
    <row r="475" spans="1:11" x14ac:dyDescent="0.3">
      <c r="A475" s="89"/>
      <c r="B475" s="89"/>
      <c r="C475" s="89">
        <v>10</v>
      </c>
      <c r="D475" s="89">
        <v>1705011</v>
      </c>
      <c r="E475" s="89" t="s">
        <v>20</v>
      </c>
      <c r="F475" s="89">
        <v>0.1552</v>
      </c>
      <c r="G475" s="89">
        <v>0.8448</v>
      </c>
      <c r="H475" s="89" t="s">
        <v>46</v>
      </c>
      <c r="I475" s="89" t="b">
        <v>0</v>
      </c>
      <c r="J475" s="89"/>
      <c r="K475" s="89"/>
    </row>
    <row r="476" spans="1:11" x14ac:dyDescent="0.3">
      <c r="A476" s="89"/>
      <c r="B476" s="89"/>
      <c r="C476" s="89">
        <v>78</v>
      </c>
      <c r="D476" s="89">
        <v>1705093</v>
      </c>
      <c r="E476" s="89" t="s">
        <v>20</v>
      </c>
      <c r="F476" s="89">
        <v>0.15429999999999999</v>
      </c>
      <c r="G476" s="89">
        <v>0.84570000000000001</v>
      </c>
      <c r="H476" s="89" t="s">
        <v>31</v>
      </c>
      <c r="I476" s="89" t="b">
        <v>0</v>
      </c>
      <c r="J476" s="89"/>
      <c r="K476" s="89"/>
    </row>
    <row r="477" spans="1:11" x14ac:dyDescent="0.3">
      <c r="A477" s="89"/>
      <c r="B477" s="89"/>
      <c r="C477" s="89">
        <v>241</v>
      </c>
      <c r="D477" s="89">
        <v>1705299</v>
      </c>
      <c r="E477" s="89" t="s">
        <v>20</v>
      </c>
      <c r="F477" s="89">
        <v>0.1542</v>
      </c>
      <c r="G477" s="89">
        <v>0.8458</v>
      </c>
      <c r="H477" s="89" t="s">
        <v>31</v>
      </c>
      <c r="I477" s="89" t="b">
        <v>0</v>
      </c>
      <c r="J477" s="89"/>
      <c r="K477" s="89"/>
    </row>
    <row r="478" spans="1:11" x14ac:dyDescent="0.3">
      <c r="A478" s="89"/>
      <c r="B478" s="89"/>
      <c r="C478" s="89">
        <v>52</v>
      </c>
      <c r="D478" s="89">
        <v>2404072</v>
      </c>
      <c r="E478" s="89" t="s">
        <v>20</v>
      </c>
      <c r="F478" s="89">
        <v>0.154</v>
      </c>
      <c r="G478" s="89">
        <v>0.84599999999999997</v>
      </c>
      <c r="H478" s="89" t="s">
        <v>33</v>
      </c>
      <c r="I478" s="89" t="b">
        <v>0</v>
      </c>
      <c r="J478" s="89"/>
      <c r="K478" s="89"/>
    </row>
    <row r="479" spans="1:11" x14ac:dyDescent="0.3">
      <c r="A479" s="89"/>
      <c r="B479" s="89"/>
      <c r="C479" s="89">
        <v>184</v>
      </c>
      <c r="D479" s="89">
        <v>1705220</v>
      </c>
      <c r="E479" s="89" t="s">
        <v>20</v>
      </c>
      <c r="F479" s="89">
        <v>0.15379999999999999</v>
      </c>
      <c r="G479" s="89">
        <v>0.84619999999999995</v>
      </c>
      <c r="H479" s="89" t="s">
        <v>31</v>
      </c>
      <c r="I479" s="89" t="b">
        <v>0</v>
      </c>
      <c r="J479" s="89"/>
      <c r="K479" s="89"/>
    </row>
    <row r="480" spans="1:11" x14ac:dyDescent="0.3">
      <c r="A480" s="89"/>
      <c r="B480" s="89"/>
      <c r="C480" s="89">
        <v>83</v>
      </c>
      <c r="D480" s="89">
        <v>1706103</v>
      </c>
      <c r="E480" s="89" t="s">
        <v>20</v>
      </c>
      <c r="F480" s="89">
        <v>0.15379999999999999</v>
      </c>
      <c r="G480" s="89">
        <v>0.84619999999999995</v>
      </c>
      <c r="H480" s="89" t="s">
        <v>31</v>
      </c>
      <c r="I480" s="89" t="b">
        <v>0</v>
      </c>
      <c r="J480" s="89"/>
      <c r="K480" s="89"/>
    </row>
    <row r="481" spans="1:11" x14ac:dyDescent="0.3">
      <c r="A481" s="89"/>
      <c r="B481" s="89"/>
      <c r="C481" s="89">
        <v>18</v>
      </c>
      <c r="D481" s="89">
        <v>1706025</v>
      </c>
      <c r="E481" s="89" t="s">
        <v>20</v>
      </c>
      <c r="F481" s="89">
        <v>0.1532</v>
      </c>
      <c r="G481" s="89">
        <v>0.8468</v>
      </c>
      <c r="H481" s="89" t="s">
        <v>52</v>
      </c>
      <c r="I481" s="89" t="b">
        <v>0</v>
      </c>
      <c r="J481" s="89"/>
      <c r="K481" s="89"/>
    </row>
    <row r="482" spans="1:11" x14ac:dyDescent="0.3">
      <c r="A482" s="89"/>
      <c r="B482" s="89"/>
      <c r="C482" s="89">
        <v>294</v>
      </c>
      <c r="D482" s="89">
        <v>2303373</v>
      </c>
      <c r="E482" s="89" t="s">
        <v>20</v>
      </c>
      <c r="F482" s="89">
        <v>0.15210000000000001</v>
      </c>
      <c r="G482" s="89">
        <v>0.84789999999999999</v>
      </c>
      <c r="H482" s="89" t="s">
        <v>38</v>
      </c>
      <c r="I482" s="89" t="b">
        <v>0</v>
      </c>
      <c r="J482" s="89"/>
      <c r="K482" s="89"/>
    </row>
    <row r="483" spans="1:11" x14ac:dyDescent="0.3">
      <c r="A483" s="89"/>
      <c r="B483" s="89"/>
      <c r="C483" s="89">
        <v>39</v>
      </c>
      <c r="D483" s="89">
        <v>2401052</v>
      </c>
      <c r="E483" s="89" t="s">
        <v>20</v>
      </c>
      <c r="F483" s="89">
        <v>0.15090000000000001</v>
      </c>
      <c r="G483" s="89">
        <v>0.84909999999999997</v>
      </c>
      <c r="H483" s="89" t="s">
        <v>33</v>
      </c>
      <c r="I483" s="89" t="b">
        <v>0</v>
      </c>
      <c r="J483" s="89"/>
      <c r="K483" s="89"/>
    </row>
    <row r="484" spans="1:11" x14ac:dyDescent="0.3">
      <c r="A484" s="89"/>
      <c r="B484" s="89"/>
      <c r="C484" s="89">
        <v>16</v>
      </c>
      <c r="D484" s="89">
        <v>2401022</v>
      </c>
      <c r="E484" s="89" t="s">
        <v>20</v>
      </c>
      <c r="F484" s="89">
        <v>0.15010000000000001</v>
      </c>
      <c r="G484" s="89">
        <v>0.84989999999999999</v>
      </c>
      <c r="H484" s="89" t="s">
        <v>48</v>
      </c>
      <c r="I484" s="89" t="b">
        <v>0</v>
      </c>
      <c r="J484" s="89"/>
      <c r="K484" s="89"/>
    </row>
    <row r="485" spans="1:11" x14ac:dyDescent="0.3">
      <c r="A485" s="89"/>
      <c r="B485" s="89"/>
      <c r="C485" s="89">
        <v>5</v>
      </c>
      <c r="D485" s="89">
        <v>1705005</v>
      </c>
      <c r="E485" s="89" t="s">
        <v>20</v>
      </c>
      <c r="F485" s="89">
        <v>0.14990000000000001</v>
      </c>
      <c r="G485" s="89">
        <v>0.85009999999999997</v>
      </c>
      <c r="H485" s="89" t="s">
        <v>31</v>
      </c>
      <c r="I485" s="89" t="b">
        <v>0</v>
      </c>
      <c r="J485" s="89"/>
      <c r="K485" s="89"/>
    </row>
    <row r="486" spans="1:11" x14ac:dyDescent="0.3">
      <c r="A486" s="89"/>
      <c r="B486" s="89"/>
      <c r="C486" s="89">
        <v>298</v>
      </c>
      <c r="D486" s="89">
        <v>1705398</v>
      </c>
      <c r="E486" s="89" t="s">
        <v>20</v>
      </c>
      <c r="F486" s="89">
        <v>0.14940000000000001</v>
      </c>
      <c r="G486" s="89">
        <v>0.85060000000000002</v>
      </c>
      <c r="H486" s="89" t="s">
        <v>41</v>
      </c>
      <c r="I486" s="89" t="b">
        <v>0</v>
      </c>
      <c r="J486" s="89"/>
      <c r="K486" s="89"/>
    </row>
    <row r="487" spans="1:11" x14ac:dyDescent="0.3">
      <c r="A487" s="89"/>
      <c r="B487" s="89"/>
      <c r="C487" s="89">
        <v>290</v>
      </c>
      <c r="D487" s="89">
        <v>2303369</v>
      </c>
      <c r="E487" s="89" t="s">
        <v>20</v>
      </c>
      <c r="F487" s="89">
        <v>0.14899999999999999</v>
      </c>
      <c r="G487" s="89">
        <v>0.85099999999999998</v>
      </c>
      <c r="H487" s="89" t="s">
        <v>52</v>
      </c>
      <c r="I487" s="89" t="b">
        <v>0</v>
      </c>
      <c r="J487" s="89"/>
      <c r="K487" s="89"/>
    </row>
    <row r="488" spans="1:11" x14ac:dyDescent="0.3">
      <c r="A488" s="89"/>
      <c r="B488" s="89"/>
      <c r="C488" s="89">
        <v>106</v>
      </c>
      <c r="D488" s="89">
        <v>2401135</v>
      </c>
      <c r="E488" s="89" t="s">
        <v>20</v>
      </c>
      <c r="F488" s="89">
        <v>0.1489</v>
      </c>
      <c r="G488" s="89">
        <v>0.85109999999999997</v>
      </c>
      <c r="H488" s="89" t="s">
        <v>31</v>
      </c>
      <c r="I488" s="89" t="b">
        <v>0</v>
      </c>
      <c r="J488" s="89"/>
      <c r="K488" s="89"/>
    </row>
    <row r="489" spans="1:11" x14ac:dyDescent="0.3">
      <c r="A489" s="89"/>
      <c r="B489" s="89"/>
      <c r="C489" s="89">
        <v>9</v>
      </c>
      <c r="D489" s="89">
        <v>1706014</v>
      </c>
      <c r="E489" s="89" t="s">
        <v>20</v>
      </c>
      <c r="F489" s="89">
        <v>0.14879999999999999</v>
      </c>
      <c r="G489" s="89">
        <v>0.85119999999999996</v>
      </c>
      <c r="H489" s="89" t="s">
        <v>31</v>
      </c>
      <c r="I489" s="89" t="b">
        <v>0</v>
      </c>
      <c r="J489" s="89"/>
      <c r="K489" s="89"/>
    </row>
    <row r="490" spans="1:11" x14ac:dyDescent="0.3">
      <c r="A490" s="89"/>
      <c r="B490" s="89"/>
      <c r="C490" s="89">
        <v>84</v>
      </c>
      <c r="D490" s="89">
        <v>2401108</v>
      </c>
      <c r="E490" s="89" t="s">
        <v>20</v>
      </c>
      <c r="F490" s="89">
        <v>0.1487</v>
      </c>
      <c r="G490" s="89">
        <v>0.85129999999999995</v>
      </c>
      <c r="H490" s="89" t="s">
        <v>31</v>
      </c>
      <c r="I490" s="89" t="b">
        <v>0</v>
      </c>
      <c r="J490" s="89"/>
      <c r="K490" s="89"/>
    </row>
    <row r="491" spans="1:11" x14ac:dyDescent="0.3">
      <c r="A491" s="89"/>
      <c r="B491" s="89"/>
      <c r="C491" s="89">
        <v>31</v>
      </c>
      <c r="D491" s="89">
        <v>1705035</v>
      </c>
      <c r="E491" s="89" t="s">
        <v>20</v>
      </c>
      <c r="F491" s="89">
        <v>0.14779999999999999</v>
      </c>
      <c r="G491" s="89">
        <v>0.85219999999999996</v>
      </c>
      <c r="H491" s="89" t="s">
        <v>31</v>
      </c>
      <c r="I491" s="89" t="b">
        <v>0</v>
      </c>
      <c r="J491" s="89"/>
      <c r="K491" s="89"/>
    </row>
    <row r="492" spans="1:11" x14ac:dyDescent="0.3">
      <c r="A492" s="89"/>
      <c r="B492" s="89"/>
      <c r="C492" s="89">
        <v>194</v>
      </c>
      <c r="D492" s="89">
        <v>1706230</v>
      </c>
      <c r="E492" s="89" t="s">
        <v>20</v>
      </c>
      <c r="F492" s="89">
        <v>0.14749999999999999</v>
      </c>
      <c r="G492" s="89">
        <v>0.85250000000000004</v>
      </c>
      <c r="H492" s="89" t="s">
        <v>38</v>
      </c>
      <c r="I492" s="89" t="b">
        <v>0</v>
      </c>
      <c r="J492" s="89"/>
      <c r="K492" s="89"/>
    </row>
    <row r="493" spans="1:11" x14ac:dyDescent="0.3">
      <c r="A493" s="89"/>
      <c r="B493" s="89"/>
      <c r="C493" s="89">
        <v>7</v>
      </c>
      <c r="D493" s="89">
        <v>1706012</v>
      </c>
      <c r="E493" s="89" t="s">
        <v>20</v>
      </c>
      <c r="F493" s="89">
        <v>0.1472</v>
      </c>
      <c r="G493" s="89">
        <v>0.8528</v>
      </c>
      <c r="H493" s="89" t="s">
        <v>31</v>
      </c>
      <c r="I493" s="89" t="b">
        <v>0</v>
      </c>
      <c r="J493" s="89"/>
      <c r="K493" s="89"/>
    </row>
    <row r="494" spans="1:11" x14ac:dyDescent="0.3">
      <c r="A494" s="89"/>
      <c r="B494" s="89"/>
      <c r="C494" s="89">
        <v>238</v>
      </c>
      <c r="D494" s="89">
        <v>1705294</v>
      </c>
      <c r="E494" s="89" t="s">
        <v>20</v>
      </c>
      <c r="F494" s="89">
        <v>0.1467</v>
      </c>
      <c r="G494" s="89">
        <v>0.85329999999999995</v>
      </c>
      <c r="H494" s="89" t="s">
        <v>31</v>
      </c>
      <c r="I494" s="89" t="b">
        <v>0</v>
      </c>
      <c r="J494" s="89"/>
      <c r="K494" s="89"/>
    </row>
    <row r="495" spans="1:11" x14ac:dyDescent="0.3">
      <c r="A495" s="89"/>
      <c r="B495" s="89"/>
      <c r="C495" s="89">
        <v>252</v>
      </c>
      <c r="D495" s="89">
        <v>1705315</v>
      </c>
      <c r="E495" s="89" t="s">
        <v>20</v>
      </c>
      <c r="F495" s="89">
        <v>0.1452</v>
      </c>
      <c r="G495" s="89">
        <v>0.8548</v>
      </c>
      <c r="H495" s="89" t="s">
        <v>45</v>
      </c>
      <c r="I495" s="89" t="b">
        <v>0</v>
      </c>
      <c r="J495" s="89"/>
      <c r="K495" s="89"/>
    </row>
    <row r="496" spans="1:11" x14ac:dyDescent="0.3">
      <c r="A496" s="89"/>
      <c r="B496" s="89"/>
      <c r="C496" s="89">
        <v>256</v>
      </c>
      <c r="D496" s="89">
        <v>1705320</v>
      </c>
      <c r="E496" s="89" t="s">
        <v>20</v>
      </c>
      <c r="F496" s="89">
        <v>0.1452</v>
      </c>
      <c r="G496" s="89">
        <v>0.8548</v>
      </c>
      <c r="H496" s="89" t="s">
        <v>31</v>
      </c>
      <c r="I496" s="89" t="b">
        <v>0</v>
      </c>
      <c r="J496" s="89"/>
      <c r="K496" s="89"/>
    </row>
    <row r="497" spans="1:11" x14ac:dyDescent="0.3">
      <c r="A497" s="89"/>
      <c r="B497" s="89"/>
      <c r="C497" s="89">
        <v>205</v>
      </c>
      <c r="D497" s="89">
        <v>1705244</v>
      </c>
      <c r="E497" s="89" t="s">
        <v>20</v>
      </c>
      <c r="F497" s="89">
        <v>0.14510000000000001</v>
      </c>
      <c r="G497" s="89">
        <v>0.85489999999999999</v>
      </c>
      <c r="H497" s="89" t="s">
        <v>31</v>
      </c>
      <c r="I497" s="89" t="b">
        <v>0</v>
      </c>
      <c r="J497" s="89"/>
      <c r="K497" s="89"/>
    </row>
    <row r="498" spans="1:11" x14ac:dyDescent="0.3">
      <c r="A498" s="89"/>
      <c r="B498" s="89"/>
      <c r="C498" s="89">
        <v>48</v>
      </c>
      <c r="D498" s="89">
        <v>1705053</v>
      </c>
      <c r="E498" s="89" t="s">
        <v>20</v>
      </c>
      <c r="F498" s="89">
        <v>0.14499999999999999</v>
      </c>
      <c r="G498" s="89">
        <v>0.85499999999999998</v>
      </c>
      <c r="H498" s="89" t="s">
        <v>31</v>
      </c>
      <c r="I498" s="89" t="b">
        <v>0</v>
      </c>
      <c r="J498" s="89"/>
      <c r="K498" s="89"/>
    </row>
    <row r="499" spans="1:11" x14ac:dyDescent="0.3">
      <c r="A499" s="89"/>
      <c r="B499" s="89"/>
      <c r="C499" s="89">
        <v>89</v>
      </c>
      <c r="D499" s="89">
        <v>1706109</v>
      </c>
      <c r="E499" s="89" t="s">
        <v>20</v>
      </c>
      <c r="F499" s="89">
        <v>0.14460000000000001</v>
      </c>
      <c r="G499" s="89">
        <v>0.85540000000000005</v>
      </c>
      <c r="H499" s="89" t="s">
        <v>31</v>
      </c>
      <c r="I499" s="89" t="b">
        <v>0</v>
      </c>
      <c r="J499" s="89"/>
      <c r="K499" s="89"/>
    </row>
    <row r="500" spans="1:11" x14ac:dyDescent="0.3">
      <c r="A500" s="89"/>
      <c r="B500" s="89"/>
      <c r="C500" s="89">
        <v>112</v>
      </c>
      <c r="D500" s="89">
        <v>1705132</v>
      </c>
      <c r="E500" s="89" t="s">
        <v>20</v>
      </c>
      <c r="F500" s="89">
        <v>0.14349999999999999</v>
      </c>
      <c r="G500" s="89">
        <v>0.85650000000000004</v>
      </c>
      <c r="H500" s="89" t="s">
        <v>31</v>
      </c>
      <c r="I500" s="89" t="b">
        <v>0</v>
      </c>
      <c r="J500" s="89"/>
      <c r="K500" s="89"/>
    </row>
    <row r="501" spans="1:11" x14ac:dyDescent="0.3">
      <c r="A501" s="89"/>
      <c r="B501" s="89"/>
      <c r="C501" s="89">
        <v>106</v>
      </c>
      <c r="D501" s="89">
        <v>1705126</v>
      </c>
      <c r="E501" s="89" t="s">
        <v>20</v>
      </c>
      <c r="F501" s="89">
        <v>0.14280000000000001</v>
      </c>
      <c r="G501" s="89">
        <v>0.85719999999999996</v>
      </c>
      <c r="H501" s="89" t="s">
        <v>31</v>
      </c>
      <c r="I501" s="89" t="b">
        <v>0</v>
      </c>
      <c r="J501" s="89"/>
      <c r="K501" s="89"/>
    </row>
    <row r="502" spans="1:11" x14ac:dyDescent="0.3">
      <c r="A502" s="89"/>
      <c r="B502" s="89"/>
      <c r="C502" s="89">
        <v>60</v>
      </c>
      <c r="D502" s="89">
        <v>1705068</v>
      </c>
      <c r="E502" s="89" t="s">
        <v>20</v>
      </c>
      <c r="F502" s="89">
        <v>0.14230000000000001</v>
      </c>
      <c r="G502" s="89">
        <v>0.85770000000000002</v>
      </c>
      <c r="H502" s="89" t="s">
        <v>31</v>
      </c>
      <c r="I502" s="89" t="b">
        <v>0</v>
      </c>
      <c r="J502" s="89"/>
      <c r="K502" s="89"/>
    </row>
    <row r="503" spans="1:11" x14ac:dyDescent="0.3">
      <c r="A503" s="89"/>
      <c r="B503" s="89"/>
      <c r="C503" s="89">
        <v>6</v>
      </c>
      <c r="D503" s="89">
        <v>1705007</v>
      </c>
      <c r="E503" s="89" t="s">
        <v>20</v>
      </c>
      <c r="F503" s="89">
        <v>0.14219999999999999</v>
      </c>
      <c r="G503" s="89">
        <v>0.85780000000000001</v>
      </c>
      <c r="H503" s="89" t="s">
        <v>31</v>
      </c>
      <c r="I503" s="89" t="b">
        <v>0</v>
      </c>
      <c r="J503" s="89"/>
      <c r="K503" s="89"/>
    </row>
    <row r="504" spans="1:11" x14ac:dyDescent="0.3">
      <c r="A504" s="89"/>
      <c r="B504" s="89"/>
      <c r="C504" s="89">
        <v>144</v>
      </c>
      <c r="D504" s="89">
        <v>1705167</v>
      </c>
      <c r="E504" s="89" t="s">
        <v>20</v>
      </c>
      <c r="F504" s="89">
        <v>0.14219999999999999</v>
      </c>
      <c r="G504" s="89">
        <v>0.85780000000000001</v>
      </c>
      <c r="H504" s="89" t="s">
        <v>31</v>
      </c>
      <c r="I504" s="89" t="b">
        <v>0</v>
      </c>
      <c r="J504" s="89"/>
      <c r="K504" s="89"/>
    </row>
    <row r="505" spans="1:11" x14ac:dyDescent="0.3">
      <c r="A505" s="89"/>
      <c r="B505" s="89"/>
      <c r="C505" s="89">
        <v>85</v>
      </c>
      <c r="D505" s="89">
        <v>2401109</v>
      </c>
      <c r="E505" s="89" t="s">
        <v>20</v>
      </c>
      <c r="F505" s="89">
        <v>0.14149999999999999</v>
      </c>
      <c r="G505" s="89">
        <v>0.85850000000000004</v>
      </c>
      <c r="H505" s="89" t="s">
        <v>38</v>
      </c>
      <c r="I505" s="89" t="b">
        <v>0</v>
      </c>
      <c r="J505" s="89"/>
      <c r="K505" s="89"/>
    </row>
    <row r="506" spans="1:11" x14ac:dyDescent="0.3">
      <c r="A506" s="89"/>
      <c r="B506" s="89"/>
      <c r="C506" s="89">
        <v>109</v>
      </c>
      <c r="D506" s="89">
        <v>2404148</v>
      </c>
      <c r="E506" s="89" t="s">
        <v>20</v>
      </c>
      <c r="F506" s="89">
        <v>0.14119999999999999</v>
      </c>
      <c r="G506" s="89">
        <v>0.85880000000000001</v>
      </c>
      <c r="H506" s="89" t="s">
        <v>26</v>
      </c>
      <c r="I506" s="89" t="b">
        <v>0</v>
      </c>
      <c r="J506" s="89"/>
      <c r="K506" s="89"/>
    </row>
    <row r="507" spans="1:11" x14ac:dyDescent="0.3">
      <c r="A507" s="89"/>
      <c r="B507" s="89"/>
      <c r="C507" s="89">
        <v>290</v>
      </c>
      <c r="D507" s="89">
        <v>1705389</v>
      </c>
      <c r="E507" s="89" t="s">
        <v>20</v>
      </c>
      <c r="F507" s="89">
        <v>0.1401</v>
      </c>
      <c r="G507" s="89">
        <v>0.8599</v>
      </c>
      <c r="H507" s="89" t="s">
        <v>31</v>
      </c>
      <c r="I507" s="89" t="b">
        <v>0</v>
      </c>
      <c r="J507" s="89"/>
      <c r="K507" s="89"/>
    </row>
    <row r="508" spans="1:11" x14ac:dyDescent="0.3">
      <c r="A508" s="89"/>
      <c r="B508" s="89"/>
      <c r="C508" s="89">
        <v>105</v>
      </c>
      <c r="D508" s="89">
        <v>2401134</v>
      </c>
      <c r="E508" s="89" t="s">
        <v>20</v>
      </c>
      <c r="F508" s="89">
        <v>0.13980000000000001</v>
      </c>
      <c r="G508" s="89">
        <v>0.86019999999999996</v>
      </c>
      <c r="H508" s="89" t="s">
        <v>31</v>
      </c>
      <c r="I508" s="89" t="b">
        <v>0</v>
      </c>
      <c r="J508" s="89"/>
      <c r="K508" s="89"/>
    </row>
    <row r="509" spans="1:11" x14ac:dyDescent="0.3">
      <c r="A509" s="89"/>
      <c r="B509" s="89"/>
      <c r="C509" s="89">
        <v>79</v>
      </c>
      <c r="D509" s="89">
        <v>2404112</v>
      </c>
      <c r="E509" s="89" t="s">
        <v>20</v>
      </c>
      <c r="F509" s="89">
        <v>0.1396</v>
      </c>
      <c r="G509" s="89">
        <v>0.86040000000000005</v>
      </c>
      <c r="H509" s="89" t="s">
        <v>31</v>
      </c>
      <c r="I509" s="89" t="b">
        <v>0</v>
      </c>
      <c r="J509" s="89"/>
      <c r="K509" s="89"/>
    </row>
    <row r="510" spans="1:11" x14ac:dyDescent="0.3">
      <c r="A510" s="89"/>
      <c r="B510" s="89"/>
      <c r="C510" s="89">
        <v>10</v>
      </c>
      <c r="D510" s="89">
        <v>1706015</v>
      </c>
      <c r="E510" s="89" t="s">
        <v>20</v>
      </c>
      <c r="F510" s="89">
        <v>0.1391</v>
      </c>
      <c r="G510" s="89">
        <v>0.8609</v>
      </c>
      <c r="H510" s="89" t="s">
        <v>47</v>
      </c>
      <c r="I510" s="89" t="b">
        <v>0</v>
      </c>
      <c r="J510" s="89"/>
      <c r="K510" s="89"/>
    </row>
    <row r="511" spans="1:11" x14ac:dyDescent="0.3">
      <c r="A511" s="89"/>
      <c r="B511" s="89"/>
      <c r="C511" s="89">
        <v>81</v>
      </c>
      <c r="D511" s="89">
        <v>2303107</v>
      </c>
      <c r="E511" s="89" t="s">
        <v>20</v>
      </c>
      <c r="F511" s="89">
        <v>0.13900000000000001</v>
      </c>
      <c r="G511" s="89">
        <v>0.86099999999999999</v>
      </c>
      <c r="H511" s="89" t="s">
        <v>46</v>
      </c>
      <c r="I511" s="89" t="b">
        <v>0</v>
      </c>
      <c r="J511" s="89"/>
      <c r="K511" s="89"/>
    </row>
    <row r="512" spans="1:11" x14ac:dyDescent="0.3">
      <c r="A512" s="89"/>
      <c r="B512" s="89"/>
      <c r="C512" s="89">
        <v>39</v>
      </c>
      <c r="D512" s="89">
        <v>1705043</v>
      </c>
      <c r="E512" s="89" t="s">
        <v>20</v>
      </c>
      <c r="F512" s="89">
        <v>0.13869999999999999</v>
      </c>
      <c r="G512" s="89">
        <v>0.86129999999999995</v>
      </c>
      <c r="H512" s="89" t="s">
        <v>31</v>
      </c>
      <c r="I512" s="89" t="b">
        <v>0</v>
      </c>
      <c r="J512" s="89"/>
      <c r="K512" s="89"/>
    </row>
    <row r="513" spans="1:11" x14ac:dyDescent="0.3">
      <c r="A513" s="89"/>
      <c r="B513" s="89"/>
      <c r="C513" s="89">
        <v>23</v>
      </c>
      <c r="D513" s="89">
        <v>1705024</v>
      </c>
      <c r="E513" s="89" t="s">
        <v>20</v>
      </c>
      <c r="F513" s="89">
        <v>0.13819999999999999</v>
      </c>
      <c r="G513" s="89">
        <v>0.86180000000000001</v>
      </c>
      <c r="H513" s="89" t="s">
        <v>46</v>
      </c>
      <c r="I513" s="89" t="b">
        <v>0</v>
      </c>
      <c r="J513" s="89"/>
      <c r="K513" s="89"/>
    </row>
    <row r="514" spans="1:11" x14ac:dyDescent="0.3">
      <c r="A514" s="89"/>
      <c r="B514" s="89"/>
      <c r="C514" s="89">
        <v>51</v>
      </c>
      <c r="D514" s="89">
        <v>2401066</v>
      </c>
      <c r="E514" s="89" t="s">
        <v>20</v>
      </c>
      <c r="F514" s="89">
        <v>0.13769999999999999</v>
      </c>
      <c r="G514" s="89">
        <v>0.86229999999999996</v>
      </c>
      <c r="H514" s="89" t="s">
        <v>46</v>
      </c>
      <c r="I514" s="89" t="b">
        <v>0</v>
      </c>
      <c r="J514" s="89"/>
      <c r="K514" s="89"/>
    </row>
    <row r="515" spans="1:11" x14ac:dyDescent="0.3">
      <c r="A515" s="89"/>
      <c r="B515" s="89"/>
      <c r="C515" s="89">
        <v>3</v>
      </c>
      <c r="D515" s="89">
        <v>2303004</v>
      </c>
      <c r="E515" s="89" t="s">
        <v>20</v>
      </c>
      <c r="F515" s="89">
        <v>0.1376</v>
      </c>
      <c r="G515" s="89">
        <v>0.86240000000000006</v>
      </c>
      <c r="H515" s="89" t="s">
        <v>55</v>
      </c>
      <c r="I515" s="89" t="b">
        <v>0</v>
      </c>
      <c r="J515" s="89"/>
      <c r="K515" s="89"/>
    </row>
    <row r="516" spans="1:11" x14ac:dyDescent="0.3">
      <c r="A516" s="89"/>
      <c r="B516" s="89"/>
      <c r="C516" s="89">
        <v>35</v>
      </c>
      <c r="D516" s="89">
        <v>2303044</v>
      </c>
      <c r="E516" s="89" t="s">
        <v>20</v>
      </c>
      <c r="F516" s="89">
        <v>0.13750000000000001</v>
      </c>
      <c r="G516" s="89">
        <v>0.86250000000000004</v>
      </c>
      <c r="H516" s="89" t="s">
        <v>41</v>
      </c>
      <c r="I516" s="89" t="b">
        <v>0</v>
      </c>
      <c r="J516" s="89"/>
      <c r="K516" s="89"/>
    </row>
    <row r="517" spans="1:11" x14ac:dyDescent="0.3">
      <c r="A517" s="89"/>
      <c r="B517" s="89"/>
      <c r="C517" s="89">
        <v>23</v>
      </c>
      <c r="D517" s="89">
        <v>2401032</v>
      </c>
      <c r="E517" s="89" t="s">
        <v>20</v>
      </c>
      <c r="F517" s="89">
        <v>0.13730000000000001</v>
      </c>
      <c r="G517" s="89">
        <v>0.86270000000000002</v>
      </c>
      <c r="H517" s="89" t="s">
        <v>33</v>
      </c>
      <c r="I517" s="89" t="b">
        <v>0</v>
      </c>
      <c r="J517" s="89"/>
      <c r="K517" s="89"/>
    </row>
    <row r="518" spans="1:11" x14ac:dyDescent="0.3">
      <c r="A518" s="89"/>
      <c r="B518" s="89"/>
      <c r="C518" s="89">
        <v>133</v>
      </c>
      <c r="D518" s="89">
        <v>1705156</v>
      </c>
      <c r="E518" s="89" t="s">
        <v>20</v>
      </c>
      <c r="F518" s="89">
        <v>0.1371</v>
      </c>
      <c r="G518" s="89">
        <v>0.8629</v>
      </c>
      <c r="H518" s="89" t="s">
        <v>31</v>
      </c>
      <c r="I518" s="89" t="b">
        <v>0</v>
      </c>
      <c r="J518" s="89"/>
      <c r="K518" s="89"/>
    </row>
    <row r="519" spans="1:11" x14ac:dyDescent="0.3">
      <c r="A519" s="89"/>
      <c r="B519" s="89"/>
      <c r="C519" s="89">
        <v>276</v>
      </c>
      <c r="D519" s="89">
        <v>2303354</v>
      </c>
      <c r="E519" s="89" t="s">
        <v>20</v>
      </c>
      <c r="F519" s="89">
        <v>0.1371</v>
      </c>
      <c r="G519" s="89">
        <v>0.8629</v>
      </c>
      <c r="H519" s="89" t="s">
        <v>31</v>
      </c>
      <c r="I519" s="89" t="b">
        <v>0</v>
      </c>
      <c r="J519" s="89"/>
      <c r="K519" s="89"/>
    </row>
    <row r="520" spans="1:11" x14ac:dyDescent="0.3">
      <c r="A520" s="89"/>
      <c r="B520" s="89"/>
      <c r="C520" s="89">
        <v>300</v>
      </c>
      <c r="D520" s="89">
        <v>1705406</v>
      </c>
      <c r="E520" s="89" t="s">
        <v>20</v>
      </c>
      <c r="F520" s="89">
        <v>0.13700000000000001</v>
      </c>
      <c r="G520" s="89">
        <v>0.86299999999999999</v>
      </c>
      <c r="H520" s="89" t="s">
        <v>31</v>
      </c>
      <c r="I520" s="89" t="b">
        <v>0</v>
      </c>
      <c r="J520" s="89"/>
      <c r="K520" s="89"/>
    </row>
    <row r="521" spans="1:11" x14ac:dyDescent="0.3">
      <c r="A521" s="89"/>
      <c r="B521" s="89"/>
      <c r="C521" s="89">
        <v>281</v>
      </c>
      <c r="D521" s="89">
        <v>2303359</v>
      </c>
      <c r="E521" s="89" t="s">
        <v>20</v>
      </c>
      <c r="F521" s="89">
        <v>0.13669999999999999</v>
      </c>
      <c r="G521" s="89">
        <v>0.86329999999999996</v>
      </c>
      <c r="H521" s="89" t="s">
        <v>31</v>
      </c>
      <c r="I521" s="89" t="b">
        <v>0</v>
      </c>
      <c r="J521" s="89"/>
      <c r="K521" s="89"/>
    </row>
    <row r="522" spans="1:11" x14ac:dyDescent="0.3">
      <c r="A522" s="89"/>
      <c r="B522" s="89"/>
      <c r="C522" s="89">
        <v>195</v>
      </c>
      <c r="D522" s="89">
        <v>1706231</v>
      </c>
      <c r="E522" s="89" t="s">
        <v>20</v>
      </c>
      <c r="F522" s="89">
        <v>0.13650000000000001</v>
      </c>
      <c r="G522" s="89">
        <v>0.86350000000000005</v>
      </c>
      <c r="H522" s="89" t="s">
        <v>31</v>
      </c>
      <c r="I522" s="89" t="b">
        <v>0</v>
      </c>
      <c r="J522" s="89"/>
      <c r="K522" s="89"/>
    </row>
    <row r="523" spans="1:11" x14ac:dyDescent="0.3">
      <c r="A523" s="89"/>
      <c r="B523" s="89"/>
      <c r="C523" s="89">
        <v>39</v>
      </c>
      <c r="D523" s="89">
        <v>2303048</v>
      </c>
      <c r="E523" s="89" t="s">
        <v>20</v>
      </c>
      <c r="F523" s="89">
        <v>0.13639999999999999</v>
      </c>
      <c r="G523" s="89">
        <v>0.86360000000000003</v>
      </c>
      <c r="H523" s="89" t="s">
        <v>26</v>
      </c>
      <c r="I523" s="89" t="b">
        <v>0</v>
      </c>
      <c r="J523" s="89"/>
      <c r="K523" s="89"/>
    </row>
    <row r="524" spans="1:11" x14ac:dyDescent="0.3">
      <c r="A524" s="89"/>
      <c r="B524" s="89"/>
      <c r="C524" s="89">
        <v>96</v>
      </c>
      <c r="D524" s="89">
        <v>2404135</v>
      </c>
      <c r="E524" s="89" t="s">
        <v>20</v>
      </c>
      <c r="F524" s="89">
        <v>0.13600000000000001</v>
      </c>
      <c r="G524" s="89">
        <v>0.86399999999999999</v>
      </c>
      <c r="H524" s="89" t="s">
        <v>38</v>
      </c>
      <c r="I524" s="89" t="b">
        <v>0</v>
      </c>
      <c r="J524" s="89"/>
      <c r="K524" s="89"/>
    </row>
    <row r="525" spans="1:11" x14ac:dyDescent="0.3">
      <c r="A525" s="89"/>
      <c r="B525" s="89"/>
      <c r="C525" s="89">
        <v>147</v>
      </c>
      <c r="D525" s="89">
        <v>2303199</v>
      </c>
      <c r="E525" s="89" t="s">
        <v>20</v>
      </c>
      <c r="F525" s="89">
        <v>0.13569999999999999</v>
      </c>
      <c r="G525" s="89">
        <v>0.86429999999999996</v>
      </c>
      <c r="H525" s="89" t="s">
        <v>28</v>
      </c>
      <c r="I525" s="89" t="b">
        <v>0</v>
      </c>
      <c r="J525" s="89"/>
      <c r="K525" s="89"/>
    </row>
    <row r="526" spans="1:11" x14ac:dyDescent="0.3">
      <c r="A526" s="89"/>
      <c r="B526" s="89"/>
      <c r="C526" s="89">
        <v>241</v>
      </c>
      <c r="D526" s="89">
        <v>2303316</v>
      </c>
      <c r="E526" s="89" t="s">
        <v>20</v>
      </c>
      <c r="F526" s="89">
        <v>0.13539999999999999</v>
      </c>
      <c r="G526" s="89">
        <v>0.86460000000000004</v>
      </c>
      <c r="H526" s="89" t="s">
        <v>31</v>
      </c>
      <c r="I526" s="89" t="b">
        <v>0</v>
      </c>
      <c r="J526" s="89"/>
      <c r="K526" s="89"/>
    </row>
    <row r="527" spans="1:11" x14ac:dyDescent="0.3">
      <c r="A527" s="89"/>
      <c r="B527" s="89"/>
      <c r="C527" s="89">
        <v>68</v>
      </c>
      <c r="D527" s="89">
        <v>2401085</v>
      </c>
      <c r="E527" s="89" t="s">
        <v>20</v>
      </c>
      <c r="F527" s="89">
        <v>0.13469999999999999</v>
      </c>
      <c r="G527" s="89">
        <v>0.86529999999999996</v>
      </c>
      <c r="H527" s="89" t="s">
        <v>31</v>
      </c>
      <c r="I527" s="89" t="b">
        <v>0</v>
      </c>
      <c r="J527" s="89"/>
      <c r="K527" s="89"/>
    </row>
    <row r="528" spans="1:11" x14ac:dyDescent="0.3">
      <c r="A528" s="89"/>
      <c r="B528" s="89"/>
      <c r="C528" s="89">
        <v>249</v>
      </c>
      <c r="D528" s="89">
        <v>1705311</v>
      </c>
      <c r="E528" s="89" t="s">
        <v>20</v>
      </c>
      <c r="F528" s="89">
        <v>0.13450000000000001</v>
      </c>
      <c r="G528" s="89">
        <v>0.86550000000000005</v>
      </c>
      <c r="H528" s="89" t="s">
        <v>45</v>
      </c>
      <c r="I528" s="89" t="b">
        <v>0</v>
      </c>
      <c r="J528" s="89"/>
      <c r="K528" s="89"/>
    </row>
    <row r="529" spans="1:11" x14ac:dyDescent="0.3">
      <c r="A529" s="89"/>
      <c r="B529" s="89"/>
      <c r="C529" s="89">
        <v>63</v>
      </c>
      <c r="D529" s="89">
        <v>1705071</v>
      </c>
      <c r="E529" s="89" t="s">
        <v>20</v>
      </c>
      <c r="F529" s="89">
        <v>0.13439999999999999</v>
      </c>
      <c r="G529" s="89">
        <v>0.86560000000000004</v>
      </c>
      <c r="H529" s="89" t="s">
        <v>31</v>
      </c>
      <c r="I529" s="89" t="b">
        <v>0</v>
      </c>
      <c r="J529" s="89"/>
      <c r="K529" s="89"/>
    </row>
    <row r="530" spans="1:11" x14ac:dyDescent="0.3">
      <c r="A530" s="89"/>
      <c r="B530" s="89"/>
      <c r="C530" s="89">
        <v>94</v>
      </c>
      <c r="D530" s="89">
        <v>1706115</v>
      </c>
      <c r="E530" s="89" t="s">
        <v>20</v>
      </c>
      <c r="F530" s="89">
        <v>0.13439999999999999</v>
      </c>
      <c r="G530" s="89">
        <v>0.86560000000000004</v>
      </c>
      <c r="H530" s="89" t="s">
        <v>31</v>
      </c>
      <c r="I530" s="89" t="b">
        <v>0</v>
      </c>
      <c r="J530" s="89"/>
      <c r="K530" s="89"/>
    </row>
    <row r="531" spans="1:11" x14ac:dyDescent="0.3">
      <c r="A531" s="89"/>
      <c r="B531" s="89"/>
      <c r="C531" s="89">
        <v>197</v>
      </c>
      <c r="D531" s="89">
        <v>1706233</v>
      </c>
      <c r="E531" s="89" t="s">
        <v>20</v>
      </c>
      <c r="F531" s="89">
        <v>0.13439999999999999</v>
      </c>
      <c r="G531" s="89">
        <v>0.86560000000000004</v>
      </c>
      <c r="H531" s="89" t="s">
        <v>31</v>
      </c>
      <c r="I531" s="89" t="b">
        <v>0</v>
      </c>
      <c r="J531" s="89"/>
      <c r="K531" s="89"/>
    </row>
    <row r="532" spans="1:11" x14ac:dyDescent="0.3">
      <c r="A532" s="89"/>
      <c r="B532" s="89"/>
      <c r="C532" s="89">
        <v>11</v>
      </c>
      <c r="D532" s="89">
        <v>2404015</v>
      </c>
      <c r="E532" s="89" t="s">
        <v>20</v>
      </c>
      <c r="F532" s="89">
        <v>0.13439999999999999</v>
      </c>
      <c r="G532" s="89">
        <v>0.86560000000000004</v>
      </c>
      <c r="H532" s="89" t="s">
        <v>38</v>
      </c>
      <c r="I532" s="89" t="b">
        <v>0</v>
      </c>
      <c r="J532" s="89"/>
      <c r="K532" s="89"/>
    </row>
    <row r="533" spans="1:11" x14ac:dyDescent="0.3">
      <c r="A533" s="89"/>
      <c r="B533" s="89"/>
      <c r="C533" s="89">
        <v>89</v>
      </c>
      <c r="D533" s="89">
        <v>1705105</v>
      </c>
      <c r="E533" s="89" t="s">
        <v>20</v>
      </c>
      <c r="F533" s="89">
        <v>0.13400000000000001</v>
      </c>
      <c r="G533" s="89">
        <v>0.86599999999999999</v>
      </c>
      <c r="H533" s="89" t="s">
        <v>38</v>
      </c>
      <c r="I533" s="89" t="b">
        <v>0</v>
      </c>
      <c r="J533" s="89"/>
      <c r="K533" s="89"/>
    </row>
    <row r="534" spans="1:11" x14ac:dyDescent="0.3">
      <c r="A534" s="89"/>
      <c r="B534" s="89"/>
      <c r="C534" s="89">
        <v>230</v>
      </c>
      <c r="D534" s="89">
        <v>1706291</v>
      </c>
      <c r="E534" s="89" t="s">
        <v>20</v>
      </c>
      <c r="F534" s="89">
        <v>0.13400000000000001</v>
      </c>
      <c r="G534" s="89">
        <v>0.86599999999999999</v>
      </c>
      <c r="H534" s="89" t="s">
        <v>38</v>
      </c>
      <c r="I534" s="89" t="b">
        <v>0</v>
      </c>
      <c r="J534" s="89"/>
      <c r="K534" s="89"/>
    </row>
    <row r="535" spans="1:11" x14ac:dyDescent="0.3">
      <c r="A535" s="89"/>
      <c r="B535" s="89"/>
      <c r="C535" s="89">
        <v>87</v>
      </c>
      <c r="D535" s="89">
        <v>2303113</v>
      </c>
      <c r="E535" s="89" t="s">
        <v>20</v>
      </c>
      <c r="F535" s="89">
        <v>0.1338</v>
      </c>
      <c r="G535" s="89">
        <v>0.86619999999999997</v>
      </c>
      <c r="H535" s="89" t="s">
        <v>31</v>
      </c>
      <c r="I535" s="89" t="b">
        <v>0</v>
      </c>
      <c r="J535" s="89"/>
      <c r="K535" s="89"/>
    </row>
    <row r="536" spans="1:11" x14ac:dyDescent="0.3">
      <c r="A536" s="89"/>
      <c r="B536" s="89"/>
      <c r="C536" s="89">
        <v>199</v>
      </c>
      <c r="D536" s="89">
        <v>1705236</v>
      </c>
      <c r="E536" s="89" t="s">
        <v>20</v>
      </c>
      <c r="F536" s="89">
        <v>0.1336</v>
      </c>
      <c r="G536" s="89">
        <v>0.86639999999999995</v>
      </c>
      <c r="H536" s="89" t="s">
        <v>38</v>
      </c>
      <c r="I536" s="89" t="b">
        <v>0</v>
      </c>
      <c r="J536" s="89"/>
      <c r="K536" s="89"/>
    </row>
    <row r="537" spans="1:11" x14ac:dyDescent="0.3">
      <c r="A537" s="89"/>
      <c r="B537" s="89"/>
      <c r="C537" s="89">
        <v>295</v>
      </c>
      <c r="D537" s="89">
        <v>1705395</v>
      </c>
      <c r="E537" s="89" t="s">
        <v>20</v>
      </c>
      <c r="F537" s="89">
        <v>0.1333</v>
      </c>
      <c r="G537" s="89">
        <v>0.86670000000000003</v>
      </c>
      <c r="H537" s="89" t="s">
        <v>52</v>
      </c>
      <c r="I537" s="89" t="b">
        <v>0</v>
      </c>
      <c r="J537" s="89"/>
      <c r="K537" s="89"/>
    </row>
    <row r="538" spans="1:11" x14ac:dyDescent="0.3">
      <c r="A538" s="89"/>
      <c r="B538" s="89"/>
      <c r="C538" s="89">
        <v>33</v>
      </c>
      <c r="D538" s="89">
        <v>2303042</v>
      </c>
      <c r="E538" s="89" t="s">
        <v>20</v>
      </c>
      <c r="F538" s="89">
        <v>0.1333</v>
      </c>
      <c r="G538" s="89">
        <v>0.86670000000000003</v>
      </c>
      <c r="H538" s="89" t="s">
        <v>31</v>
      </c>
      <c r="I538" s="89" t="b">
        <v>0</v>
      </c>
      <c r="J538" s="89"/>
      <c r="K538" s="89"/>
    </row>
    <row r="539" spans="1:11" x14ac:dyDescent="0.3">
      <c r="A539" s="89"/>
      <c r="B539" s="89"/>
      <c r="C539" s="89">
        <v>183</v>
      </c>
      <c r="D539" s="89">
        <v>1705219</v>
      </c>
      <c r="E539" s="89" t="s">
        <v>20</v>
      </c>
      <c r="F539" s="89">
        <v>0.1331</v>
      </c>
      <c r="G539" s="89">
        <v>0.8669</v>
      </c>
      <c r="H539" s="89" t="s">
        <v>31</v>
      </c>
      <c r="I539" s="89" t="b">
        <v>0</v>
      </c>
      <c r="J539" s="89"/>
      <c r="K539" s="89"/>
    </row>
    <row r="540" spans="1:11" x14ac:dyDescent="0.3">
      <c r="A540" s="89"/>
      <c r="B540" s="89"/>
      <c r="C540" s="89">
        <v>45</v>
      </c>
      <c r="D540" s="89">
        <v>2404064</v>
      </c>
      <c r="E540" s="89" t="s">
        <v>20</v>
      </c>
      <c r="F540" s="89">
        <v>0.1331</v>
      </c>
      <c r="G540" s="89">
        <v>0.8669</v>
      </c>
      <c r="H540" s="89" t="s">
        <v>33</v>
      </c>
      <c r="I540" s="89" t="b">
        <v>0</v>
      </c>
      <c r="J540" s="89"/>
      <c r="K540" s="89"/>
    </row>
    <row r="541" spans="1:11" x14ac:dyDescent="0.3">
      <c r="A541" s="89"/>
      <c r="B541" s="89"/>
      <c r="C541" s="89">
        <v>69</v>
      </c>
      <c r="D541" s="89">
        <v>2303087</v>
      </c>
      <c r="E541" s="89" t="s">
        <v>20</v>
      </c>
      <c r="F541" s="89">
        <v>0.13239999999999999</v>
      </c>
      <c r="G541" s="89">
        <v>0.86760000000000004</v>
      </c>
      <c r="H541" s="89" t="s">
        <v>38</v>
      </c>
      <c r="I541" s="89" t="b">
        <v>0</v>
      </c>
      <c r="J541" s="89"/>
      <c r="K541" s="89"/>
    </row>
    <row r="542" spans="1:11" x14ac:dyDescent="0.3">
      <c r="A542" s="89"/>
      <c r="B542" s="89"/>
      <c r="C542" s="89">
        <v>64</v>
      </c>
      <c r="D542" s="89">
        <v>2404090</v>
      </c>
      <c r="E542" s="89" t="s">
        <v>20</v>
      </c>
      <c r="F542" s="89">
        <v>0.13239999999999999</v>
      </c>
      <c r="G542" s="89">
        <v>0.86760000000000004</v>
      </c>
      <c r="H542" s="89" t="s">
        <v>33</v>
      </c>
      <c r="I542" s="89" t="b">
        <v>0</v>
      </c>
      <c r="J542" s="89"/>
      <c r="K542" s="89"/>
    </row>
    <row r="543" spans="1:11" x14ac:dyDescent="0.3">
      <c r="A543" s="89"/>
      <c r="B543" s="89"/>
      <c r="C543" s="89">
        <v>174</v>
      </c>
      <c r="D543" s="89">
        <v>2303231</v>
      </c>
      <c r="E543" s="89" t="s">
        <v>20</v>
      </c>
      <c r="F543" s="89">
        <v>0.1323</v>
      </c>
      <c r="G543" s="89">
        <v>0.86770000000000003</v>
      </c>
      <c r="H543" s="89" t="s">
        <v>31</v>
      </c>
      <c r="I543" s="89" t="b">
        <v>0</v>
      </c>
      <c r="J543" s="89"/>
      <c r="K543" s="89"/>
    </row>
    <row r="544" spans="1:11" x14ac:dyDescent="0.3">
      <c r="A544" s="89"/>
      <c r="B544" s="89"/>
      <c r="C544" s="89">
        <v>101</v>
      </c>
      <c r="D544" s="89">
        <v>2401130</v>
      </c>
      <c r="E544" s="89" t="s">
        <v>20</v>
      </c>
      <c r="F544" s="89">
        <v>0.13220000000000001</v>
      </c>
      <c r="G544" s="89">
        <v>0.86780000000000002</v>
      </c>
      <c r="H544" s="89" t="s">
        <v>31</v>
      </c>
      <c r="I544" s="89" t="b">
        <v>0</v>
      </c>
      <c r="J544" s="89"/>
      <c r="K544" s="89"/>
    </row>
    <row r="545" spans="1:11" x14ac:dyDescent="0.3">
      <c r="A545" s="89"/>
      <c r="B545" s="89"/>
      <c r="C545" s="89">
        <v>33</v>
      </c>
      <c r="D545" s="89">
        <v>1706042</v>
      </c>
      <c r="E545" s="89" t="s">
        <v>20</v>
      </c>
      <c r="F545" s="89">
        <v>0.13139999999999999</v>
      </c>
      <c r="G545" s="89">
        <v>0.86860000000000004</v>
      </c>
      <c r="H545" s="89" t="s">
        <v>38</v>
      </c>
      <c r="I545" s="89" t="b">
        <v>0</v>
      </c>
      <c r="J545" s="89"/>
      <c r="K545" s="89"/>
    </row>
    <row r="546" spans="1:11" x14ac:dyDescent="0.3">
      <c r="A546" s="89"/>
      <c r="B546" s="89"/>
      <c r="C546" s="89">
        <v>175</v>
      </c>
      <c r="D546" s="89">
        <v>1706209</v>
      </c>
      <c r="E546" s="89" t="s">
        <v>20</v>
      </c>
      <c r="F546" s="89">
        <v>0.13139999999999999</v>
      </c>
      <c r="G546" s="89">
        <v>0.86860000000000004</v>
      </c>
      <c r="H546" s="89" t="s">
        <v>38</v>
      </c>
      <c r="I546" s="89" t="b">
        <v>0</v>
      </c>
      <c r="J546" s="89"/>
      <c r="K546" s="89"/>
    </row>
    <row r="547" spans="1:11" x14ac:dyDescent="0.3">
      <c r="A547" s="89"/>
      <c r="B547" s="89"/>
      <c r="C547" s="89">
        <v>269</v>
      </c>
      <c r="D547" s="89">
        <v>1705339</v>
      </c>
      <c r="E547" s="89" t="s">
        <v>20</v>
      </c>
      <c r="F547" s="89">
        <v>0.13120000000000001</v>
      </c>
      <c r="G547" s="89">
        <v>0.86880000000000002</v>
      </c>
      <c r="H547" s="89" t="s">
        <v>31</v>
      </c>
      <c r="I547" s="89" t="b">
        <v>0</v>
      </c>
      <c r="J547" s="89"/>
      <c r="K547" s="89"/>
    </row>
    <row r="548" spans="1:11" x14ac:dyDescent="0.3">
      <c r="A548" s="89"/>
      <c r="B548" s="89"/>
      <c r="C548" s="89">
        <v>74</v>
      </c>
      <c r="D548" s="89">
        <v>2303094</v>
      </c>
      <c r="E548" s="89" t="s">
        <v>20</v>
      </c>
      <c r="F548" s="89">
        <v>0.13020000000000001</v>
      </c>
      <c r="G548" s="89">
        <v>0.86980000000000002</v>
      </c>
      <c r="H548" s="89" t="s">
        <v>38</v>
      </c>
      <c r="I548" s="89" t="b">
        <v>0</v>
      </c>
      <c r="J548" s="89"/>
      <c r="K548" s="89"/>
    </row>
    <row r="549" spans="1:11" x14ac:dyDescent="0.3">
      <c r="A549" s="89"/>
      <c r="B549" s="89"/>
      <c r="C549" s="89">
        <v>165</v>
      </c>
      <c r="D549" s="89">
        <v>1705196</v>
      </c>
      <c r="E549" s="89" t="s">
        <v>20</v>
      </c>
      <c r="F549" s="89">
        <v>0.13009999999999999</v>
      </c>
      <c r="G549" s="89">
        <v>0.86990000000000001</v>
      </c>
      <c r="H549" s="89" t="s">
        <v>38</v>
      </c>
      <c r="I549" s="89" t="b">
        <v>0</v>
      </c>
      <c r="J549" s="89"/>
      <c r="K549" s="89"/>
    </row>
    <row r="550" spans="1:11" x14ac:dyDescent="0.3">
      <c r="A550" s="89"/>
      <c r="B550" s="89"/>
      <c r="C550" s="89">
        <v>110</v>
      </c>
      <c r="D550" s="89">
        <v>1705130</v>
      </c>
      <c r="E550" s="89" t="s">
        <v>20</v>
      </c>
      <c r="F550" s="89">
        <v>0.13</v>
      </c>
      <c r="G550" s="89">
        <v>0.87</v>
      </c>
      <c r="H550" s="89" t="s">
        <v>31</v>
      </c>
      <c r="I550" s="89" t="b">
        <v>0</v>
      </c>
      <c r="J550" s="89"/>
      <c r="K550" s="89"/>
    </row>
    <row r="551" spans="1:11" x14ac:dyDescent="0.3">
      <c r="A551" s="89"/>
      <c r="B551" s="89"/>
      <c r="C551" s="89">
        <v>148</v>
      </c>
      <c r="D551" s="89">
        <v>1705171</v>
      </c>
      <c r="E551" s="89" t="s">
        <v>20</v>
      </c>
      <c r="F551" s="89">
        <v>0.13</v>
      </c>
      <c r="G551" s="89">
        <v>0.87</v>
      </c>
      <c r="H551" s="89" t="s">
        <v>31</v>
      </c>
      <c r="I551" s="89" t="b">
        <v>0</v>
      </c>
      <c r="J551" s="89"/>
      <c r="K551" s="89"/>
    </row>
    <row r="552" spans="1:11" x14ac:dyDescent="0.3">
      <c r="A552" s="89"/>
      <c r="B552" s="89"/>
      <c r="C552" s="89">
        <v>198</v>
      </c>
      <c r="D552" s="89">
        <v>1705235</v>
      </c>
      <c r="E552" s="89" t="s">
        <v>20</v>
      </c>
      <c r="F552" s="89">
        <v>0.13</v>
      </c>
      <c r="G552" s="89">
        <v>0.87</v>
      </c>
      <c r="H552" s="89" t="s">
        <v>38</v>
      </c>
      <c r="I552" s="89" t="b">
        <v>0</v>
      </c>
      <c r="J552" s="89"/>
      <c r="K552" s="89"/>
    </row>
    <row r="553" spans="1:11" x14ac:dyDescent="0.3">
      <c r="A553" s="89"/>
      <c r="B553" s="89"/>
      <c r="C553" s="89">
        <v>88</v>
      </c>
      <c r="D553" s="89">
        <v>1706108</v>
      </c>
      <c r="E553" s="89" t="s">
        <v>20</v>
      </c>
      <c r="F553" s="89">
        <v>0.1298</v>
      </c>
      <c r="G553" s="89">
        <v>0.87019999999999997</v>
      </c>
      <c r="H553" s="89" t="s">
        <v>31</v>
      </c>
      <c r="I553" s="89" t="b">
        <v>0</v>
      </c>
      <c r="J553" s="89"/>
      <c r="K553" s="89"/>
    </row>
    <row r="554" spans="1:11" x14ac:dyDescent="0.3">
      <c r="A554" s="89"/>
      <c r="B554" s="89"/>
      <c r="C554" s="89">
        <v>264</v>
      </c>
      <c r="D554" s="89">
        <v>1706337</v>
      </c>
      <c r="E554" s="89" t="s">
        <v>20</v>
      </c>
      <c r="F554" s="89">
        <v>0.12970000000000001</v>
      </c>
      <c r="G554" s="89">
        <v>0.87029999999999996</v>
      </c>
      <c r="H554" s="89" t="s">
        <v>31</v>
      </c>
      <c r="I554" s="89" t="b">
        <v>0</v>
      </c>
      <c r="J554" s="89"/>
      <c r="K554" s="89"/>
    </row>
    <row r="555" spans="1:11" x14ac:dyDescent="0.3">
      <c r="A555" s="89"/>
      <c r="B555" s="89"/>
      <c r="C555" s="89">
        <v>133</v>
      </c>
      <c r="D555" s="89">
        <v>2303177</v>
      </c>
      <c r="E555" s="89" t="s">
        <v>20</v>
      </c>
      <c r="F555" s="89">
        <v>0.12959999999999999</v>
      </c>
      <c r="G555" s="89">
        <v>0.87039999999999995</v>
      </c>
      <c r="H555" s="89" t="s">
        <v>31</v>
      </c>
      <c r="I555" s="89" t="b">
        <v>0</v>
      </c>
      <c r="J555" s="89"/>
      <c r="K555" s="89"/>
    </row>
    <row r="556" spans="1:11" ht="18" customHeight="1" x14ac:dyDescent="0.3">
      <c r="A556" s="89"/>
      <c r="B556" s="89"/>
      <c r="C556" s="89">
        <v>275</v>
      </c>
      <c r="D556" s="89">
        <v>2303353</v>
      </c>
      <c r="E556" s="89" t="s">
        <v>20</v>
      </c>
      <c r="F556" s="89">
        <v>0.1295</v>
      </c>
      <c r="G556" s="89">
        <v>0.87050000000000005</v>
      </c>
      <c r="H556" s="89" t="s">
        <v>31</v>
      </c>
      <c r="I556" s="89" t="b">
        <v>0</v>
      </c>
      <c r="J556" s="89"/>
      <c r="K556" s="89"/>
    </row>
    <row r="557" spans="1:11" ht="18" customHeight="1" x14ac:dyDescent="0.3">
      <c r="A557" s="89"/>
      <c r="B557" s="89"/>
      <c r="C557" s="89">
        <v>12</v>
      </c>
      <c r="D557" s="89">
        <v>1706017</v>
      </c>
      <c r="E557" s="89" t="s">
        <v>20</v>
      </c>
      <c r="F557" s="89">
        <v>0.12939999999999999</v>
      </c>
      <c r="G557" s="89">
        <v>0.87060000000000004</v>
      </c>
      <c r="H557" s="89" t="s">
        <v>55</v>
      </c>
      <c r="I557" s="89" t="b">
        <v>0</v>
      </c>
      <c r="J557" s="89"/>
      <c r="K557" s="89"/>
    </row>
    <row r="558" spans="1:11" ht="18" customHeight="1" x14ac:dyDescent="0.3">
      <c r="A558" s="89"/>
      <c r="B558" s="89"/>
      <c r="C558" s="89">
        <v>288</v>
      </c>
      <c r="D558" s="89">
        <v>2303366</v>
      </c>
      <c r="E558" s="89" t="s">
        <v>20</v>
      </c>
      <c r="F558" s="89">
        <v>0.12939999999999999</v>
      </c>
      <c r="G558" s="89">
        <v>0.87060000000000004</v>
      </c>
      <c r="H558" s="89" t="s">
        <v>31</v>
      </c>
      <c r="I558" s="89" t="b">
        <v>0</v>
      </c>
      <c r="J558" s="89"/>
      <c r="K558" s="89"/>
    </row>
    <row r="559" spans="1:11" ht="18" customHeight="1" x14ac:dyDescent="0.3">
      <c r="A559" s="89"/>
      <c r="B559" s="89"/>
      <c r="C559" s="89">
        <v>232</v>
      </c>
      <c r="D559" s="89">
        <v>1706293</v>
      </c>
      <c r="E559" s="89" t="s">
        <v>20</v>
      </c>
      <c r="F559" s="89">
        <v>0.12920000000000001</v>
      </c>
      <c r="G559" s="89">
        <v>0.87080000000000002</v>
      </c>
      <c r="H559" s="89" t="s">
        <v>38</v>
      </c>
      <c r="I559" s="89" t="b">
        <v>0</v>
      </c>
      <c r="J559" s="89"/>
      <c r="K559" s="89"/>
    </row>
    <row r="560" spans="1:11" ht="18" customHeight="1" x14ac:dyDescent="0.3">
      <c r="A560" s="89"/>
      <c r="B560" s="89"/>
      <c r="C560" s="89">
        <v>2</v>
      </c>
      <c r="D560" s="89">
        <v>1705002</v>
      </c>
      <c r="E560" s="89" t="s">
        <v>20</v>
      </c>
      <c r="F560" s="89">
        <v>0.129</v>
      </c>
      <c r="G560" s="89">
        <v>0.871</v>
      </c>
      <c r="H560" s="89" t="s">
        <v>45</v>
      </c>
      <c r="I560" s="89" t="b">
        <v>0</v>
      </c>
      <c r="J560" s="89"/>
      <c r="K560" s="89"/>
    </row>
    <row r="561" spans="1:11" ht="18" customHeight="1" x14ac:dyDescent="0.3">
      <c r="A561" s="89"/>
      <c r="B561" s="89"/>
      <c r="C561" s="89">
        <v>56</v>
      </c>
      <c r="D561" s="89">
        <v>2303067</v>
      </c>
      <c r="E561" s="89" t="s">
        <v>20</v>
      </c>
      <c r="F561" s="89">
        <v>0.1283</v>
      </c>
      <c r="G561" s="89">
        <v>0.87170000000000003</v>
      </c>
      <c r="H561" s="89" t="s">
        <v>31</v>
      </c>
      <c r="I561" s="89" t="b">
        <v>0</v>
      </c>
      <c r="J561" s="89"/>
      <c r="K561" s="89"/>
    </row>
    <row r="562" spans="1:11" ht="18" customHeight="1" x14ac:dyDescent="0.3">
      <c r="A562" s="89"/>
      <c r="B562" s="89"/>
      <c r="C562" s="89">
        <v>145</v>
      </c>
      <c r="D562" s="89">
        <v>1706177</v>
      </c>
      <c r="E562" s="89" t="s">
        <v>20</v>
      </c>
      <c r="F562" s="89">
        <v>0.12809999999999999</v>
      </c>
      <c r="G562" s="89">
        <v>0.87190000000000001</v>
      </c>
      <c r="H562" s="89" t="s">
        <v>47</v>
      </c>
      <c r="I562" s="89" t="b">
        <v>0</v>
      </c>
      <c r="J562" s="89"/>
      <c r="K562" s="89"/>
    </row>
    <row r="563" spans="1:11" ht="18" customHeight="1" x14ac:dyDescent="0.3">
      <c r="A563" s="89"/>
      <c r="B563" s="89"/>
      <c r="C563" s="89">
        <v>238</v>
      </c>
      <c r="D563" s="89">
        <v>1706302</v>
      </c>
      <c r="E563" s="89" t="s">
        <v>20</v>
      </c>
      <c r="F563" s="89">
        <v>0.12809999999999999</v>
      </c>
      <c r="G563" s="89">
        <v>0.87190000000000001</v>
      </c>
      <c r="H563" s="89" t="s">
        <v>38</v>
      </c>
      <c r="I563" s="89" t="b">
        <v>0</v>
      </c>
      <c r="J563" s="89"/>
      <c r="K563" s="89"/>
    </row>
    <row r="564" spans="1:11" ht="18" customHeight="1" x14ac:dyDescent="0.3">
      <c r="A564" s="89"/>
      <c r="B564" s="89"/>
      <c r="C564" s="89">
        <v>269</v>
      </c>
      <c r="D564" s="89">
        <v>2303347</v>
      </c>
      <c r="E564" s="89" t="s">
        <v>20</v>
      </c>
      <c r="F564" s="89">
        <v>0.12770000000000001</v>
      </c>
      <c r="G564" s="89">
        <v>0.87229999999999996</v>
      </c>
      <c r="H564" s="89" t="s">
        <v>46</v>
      </c>
      <c r="I564" s="89" t="b">
        <v>0</v>
      </c>
      <c r="J564" s="89"/>
      <c r="K564" s="89"/>
    </row>
    <row r="565" spans="1:11" ht="18" customHeight="1" x14ac:dyDescent="0.3">
      <c r="A565" s="89"/>
      <c r="B565" s="89"/>
      <c r="C565" s="89">
        <v>232</v>
      </c>
      <c r="D565" s="89">
        <v>2303303</v>
      </c>
      <c r="E565" s="89" t="s">
        <v>20</v>
      </c>
      <c r="F565" s="89">
        <v>0.1275</v>
      </c>
      <c r="G565" s="89">
        <v>0.87250000000000005</v>
      </c>
      <c r="H565" s="89" t="s">
        <v>38</v>
      </c>
      <c r="I565" s="89" t="b">
        <v>0</v>
      </c>
      <c r="J565" s="89"/>
      <c r="K565" s="89"/>
    </row>
    <row r="566" spans="1:11" ht="18" customHeight="1" x14ac:dyDescent="0.3">
      <c r="A566" s="89"/>
      <c r="B566" s="89"/>
      <c r="C566" s="89">
        <v>134</v>
      </c>
      <c r="D566" s="89">
        <v>1706163</v>
      </c>
      <c r="E566" s="89" t="s">
        <v>20</v>
      </c>
      <c r="F566" s="89">
        <v>0.12709999999999999</v>
      </c>
      <c r="G566" s="89">
        <v>0.87290000000000001</v>
      </c>
      <c r="H566" s="89" t="s">
        <v>38</v>
      </c>
      <c r="I566" s="89" t="b">
        <v>0</v>
      </c>
      <c r="J566" s="89"/>
      <c r="K566" s="89"/>
    </row>
    <row r="567" spans="1:11" ht="18" customHeight="1" x14ac:dyDescent="0.3">
      <c r="A567" s="89"/>
      <c r="B567" s="89"/>
      <c r="C567" s="89">
        <v>72</v>
      </c>
      <c r="D567" s="89">
        <v>2303092</v>
      </c>
      <c r="E567" s="89" t="s">
        <v>20</v>
      </c>
      <c r="F567" s="89">
        <v>0.12670000000000001</v>
      </c>
      <c r="G567" s="89">
        <v>0.87329999999999997</v>
      </c>
      <c r="H567" s="89" t="s">
        <v>31</v>
      </c>
      <c r="I567" s="89" t="b">
        <v>0</v>
      </c>
      <c r="J567" s="89"/>
      <c r="K567" s="89"/>
    </row>
    <row r="568" spans="1:11" ht="18" customHeight="1" x14ac:dyDescent="0.3">
      <c r="A568" s="89"/>
      <c r="B568" s="89"/>
      <c r="C568" s="89">
        <v>187</v>
      </c>
      <c r="D568" s="89">
        <v>2303245</v>
      </c>
      <c r="E568" s="89" t="s">
        <v>20</v>
      </c>
      <c r="F568" s="89">
        <v>0.12609999999999999</v>
      </c>
      <c r="G568" s="89">
        <v>0.87390000000000001</v>
      </c>
      <c r="H568" s="89" t="s">
        <v>38</v>
      </c>
      <c r="I568" s="89" t="b">
        <v>0</v>
      </c>
      <c r="J568" s="89"/>
      <c r="K568" s="89"/>
    </row>
    <row r="569" spans="1:11" ht="18" customHeight="1" x14ac:dyDescent="0.3">
      <c r="A569" s="89"/>
      <c r="B569" s="89"/>
      <c r="C569" s="89">
        <v>76</v>
      </c>
      <c r="D569" s="89">
        <v>1706096</v>
      </c>
      <c r="E569" s="89" t="s">
        <v>20</v>
      </c>
      <c r="F569" s="89">
        <v>0.1258</v>
      </c>
      <c r="G569" s="89">
        <v>0.87419999999999998</v>
      </c>
      <c r="H569" s="89" t="s">
        <v>31</v>
      </c>
      <c r="I569" s="89" t="b">
        <v>0</v>
      </c>
      <c r="J569" s="89"/>
      <c r="K569" s="89"/>
    </row>
    <row r="570" spans="1:11" ht="18" customHeight="1" x14ac:dyDescent="0.3">
      <c r="A570" s="89"/>
      <c r="B570" s="89"/>
      <c r="C570" s="89">
        <v>270</v>
      </c>
      <c r="D570" s="89">
        <v>1705341</v>
      </c>
      <c r="E570" s="89" t="s">
        <v>20</v>
      </c>
      <c r="F570" s="89">
        <v>0.12570000000000001</v>
      </c>
      <c r="G570" s="89">
        <v>0.87429999999999997</v>
      </c>
      <c r="H570" s="89" t="s">
        <v>31</v>
      </c>
      <c r="I570" s="89" t="b">
        <v>0</v>
      </c>
      <c r="J570" s="89"/>
      <c r="K570" s="89"/>
    </row>
    <row r="571" spans="1:11" ht="18" customHeight="1" x14ac:dyDescent="0.3">
      <c r="A571" s="89"/>
      <c r="B571" s="89"/>
      <c r="C571" s="89">
        <v>65</v>
      </c>
      <c r="D571" s="89">
        <v>2401081</v>
      </c>
      <c r="E571" s="89" t="s">
        <v>20</v>
      </c>
      <c r="F571" s="89">
        <v>0.12559999999999999</v>
      </c>
      <c r="G571" s="89">
        <v>0.87439999999999996</v>
      </c>
      <c r="H571" s="89" t="s">
        <v>31</v>
      </c>
      <c r="I571" s="89" t="b">
        <v>0</v>
      </c>
      <c r="J571" s="89"/>
      <c r="K571" s="89"/>
    </row>
    <row r="572" spans="1:11" ht="18" customHeight="1" x14ac:dyDescent="0.3">
      <c r="A572" s="89"/>
      <c r="B572" s="89"/>
      <c r="C572" s="89">
        <v>155</v>
      </c>
      <c r="D572" s="89">
        <v>1706188</v>
      </c>
      <c r="E572" s="89" t="s">
        <v>20</v>
      </c>
      <c r="F572" s="89">
        <v>0.12540000000000001</v>
      </c>
      <c r="G572" s="89">
        <v>0.87460000000000004</v>
      </c>
      <c r="H572" s="89" t="s">
        <v>38</v>
      </c>
      <c r="I572" s="89" t="b">
        <v>0</v>
      </c>
      <c r="J572" s="89"/>
      <c r="K572" s="89"/>
    </row>
    <row r="573" spans="1:11" ht="18" customHeight="1" x14ac:dyDescent="0.3">
      <c r="A573" s="89"/>
      <c r="B573" s="89"/>
      <c r="C573" s="89">
        <v>163</v>
      </c>
      <c r="D573" s="89">
        <v>1706197</v>
      </c>
      <c r="E573" s="89" t="s">
        <v>20</v>
      </c>
      <c r="F573" s="89">
        <v>0.12529999999999999</v>
      </c>
      <c r="G573" s="89">
        <v>0.87470000000000003</v>
      </c>
      <c r="H573" s="89" t="s">
        <v>31</v>
      </c>
      <c r="I573" s="89" t="b">
        <v>0</v>
      </c>
      <c r="J573" s="89"/>
      <c r="K573" s="89"/>
    </row>
    <row r="574" spans="1:11" ht="18" customHeight="1" x14ac:dyDescent="0.3">
      <c r="A574" s="89"/>
      <c r="B574" s="89"/>
      <c r="C574" s="89">
        <v>67</v>
      </c>
      <c r="D574" s="89">
        <v>1705076</v>
      </c>
      <c r="E574" s="89" t="s">
        <v>20</v>
      </c>
      <c r="F574" s="89">
        <v>0.12470000000000001</v>
      </c>
      <c r="G574" s="89">
        <v>0.87529999999999997</v>
      </c>
      <c r="H574" s="89" t="s">
        <v>33</v>
      </c>
      <c r="I574" s="89" t="b">
        <v>0</v>
      </c>
      <c r="J574" s="89"/>
      <c r="K574" s="89"/>
    </row>
    <row r="575" spans="1:11" ht="18" customHeight="1" x14ac:dyDescent="0.3">
      <c r="A575" s="89"/>
      <c r="B575" s="89"/>
      <c r="C575" s="89">
        <v>71</v>
      </c>
      <c r="D575" s="89">
        <v>2303091</v>
      </c>
      <c r="E575" s="89" t="s">
        <v>20</v>
      </c>
      <c r="F575" s="89">
        <v>0.1246</v>
      </c>
      <c r="G575" s="89">
        <v>0.87539999999999996</v>
      </c>
      <c r="H575" s="89" t="s">
        <v>38</v>
      </c>
      <c r="I575" s="89" t="b">
        <v>0</v>
      </c>
      <c r="J575" s="89"/>
      <c r="K575" s="89"/>
    </row>
    <row r="576" spans="1:11" ht="18" customHeight="1" x14ac:dyDescent="0.3">
      <c r="A576" s="89"/>
      <c r="B576" s="89"/>
      <c r="C576" s="89">
        <v>66</v>
      </c>
      <c r="D576" s="89">
        <v>2404092</v>
      </c>
      <c r="E576" s="89" t="s">
        <v>20</v>
      </c>
      <c r="F576" s="89">
        <v>0.1246</v>
      </c>
      <c r="G576" s="89">
        <v>0.87539999999999996</v>
      </c>
      <c r="H576" s="89" t="s">
        <v>28</v>
      </c>
      <c r="I576" s="89" t="b">
        <v>0</v>
      </c>
      <c r="J576" s="89"/>
      <c r="K576" s="89"/>
    </row>
    <row r="577" spans="1:11" ht="18" customHeight="1" x14ac:dyDescent="0.3">
      <c r="A577" s="89"/>
      <c r="B577" s="89"/>
      <c r="C577" s="89">
        <v>139</v>
      </c>
      <c r="D577" s="89">
        <v>2303186</v>
      </c>
      <c r="E577" s="89" t="s">
        <v>20</v>
      </c>
      <c r="F577" s="89">
        <v>0.124</v>
      </c>
      <c r="G577" s="89">
        <v>0.876</v>
      </c>
      <c r="H577" s="89" t="s">
        <v>38</v>
      </c>
      <c r="I577" s="89" t="b">
        <v>0</v>
      </c>
      <c r="J577" s="89"/>
      <c r="K577" s="89"/>
    </row>
    <row r="578" spans="1:11" ht="18" customHeight="1" x14ac:dyDescent="0.3">
      <c r="A578" s="89"/>
      <c r="B578" s="89"/>
      <c r="C578" s="89">
        <v>152</v>
      </c>
      <c r="D578" s="89">
        <v>2303206</v>
      </c>
      <c r="E578" s="89" t="s">
        <v>20</v>
      </c>
      <c r="F578" s="89">
        <v>0.1236</v>
      </c>
      <c r="G578" s="89">
        <v>0.87639999999999996</v>
      </c>
      <c r="H578" s="89" t="s">
        <v>26</v>
      </c>
      <c r="I578" s="89" t="b">
        <v>0</v>
      </c>
      <c r="J578" s="89"/>
      <c r="K578" s="89"/>
    </row>
    <row r="579" spans="1:11" ht="18" customHeight="1" x14ac:dyDescent="0.3">
      <c r="A579" s="89"/>
      <c r="B579" s="89"/>
      <c r="C579" s="89">
        <v>123</v>
      </c>
      <c r="D579" s="89">
        <v>1705144</v>
      </c>
      <c r="E579" s="89" t="s">
        <v>20</v>
      </c>
      <c r="F579" s="89">
        <v>0.1232</v>
      </c>
      <c r="G579" s="89">
        <v>0.87680000000000002</v>
      </c>
      <c r="H579" s="89" t="s">
        <v>31</v>
      </c>
      <c r="I579" s="89" t="b">
        <v>0</v>
      </c>
      <c r="J579" s="89"/>
      <c r="K579" s="89"/>
    </row>
    <row r="580" spans="1:11" ht="18" customHeight="1" x14ac:dyDescent="0.3">
      <c r="A580" s="89"/>
      <c r="B580" s="89"/>
      <c r="C580" s="89">
        <v>157</v>
      </c>
      <c r="D580" s="89">
        <v>1706190</v>
      </c>
      <c r="E580" s="89" t="s">
        <v>20</v>
      </c>
      <c r="F580" s="89">
        <v>0.12239999999999999</v>
      </c>
      <c r="G580" s="89">
        <v>0.87760000000000005</v>
      </c>
      <c r="H580" s="89" t="s">
        <v>31</v>
      </c>
      <c r="I580" s="89" t="b">
        <v>0</v>
      </c>
      <c r="J580" s="89"/>
      <c r="K580" s="89"/>
    </row>
    <row r="581" spans="1:11" ht="18" customHeight="1" x14ac:dyDescent="0.3">
      <c r="A581" s="89"/>
      <c r="B581" s="89"/>
      <c r="C581" s="89">
        <v>157</v>
      </c>
      <c r="D581" s="89">
        <v>1705183</v>
      </c>
      <c r="E581" s="89" t="s">
        <v>20</v>
      </c>
      <c r="F581" s="89">
        <v>0.12180000000000001</v>
      </c>
      <c r="G581" s="89">
        <v>0.87819999999999998</v>
      </c>
      <c r="H581" s="89" t="s">
        <v>31</v>
      </c>
      <c r="I581" s="89" t="b">
        <v>0</v>
      </c>
      <c r="J581" s="89"/>
      <c r="K581" s="89"/>
    </row>
    <row r="582" spans="1:11" ht="18" customHeight="1" x14ac:dyDescent="0.3">
      <c r="A582" s="89"/>
      <c r="B582" s="89"/>
      <c r="C582" s="89">
        <v>231</v>
      </c>
      <c r="D582" s="89">
        <v>1706292</v>
      </c>
      <c r="E582" s="89" t="s">
        <v>20</v>
      </c>
      <c r="F582" s="89">
        <v>0.12180000000000001</v>
      </c>
      <c r="G582" s="89">
        <v>0.87819999999999998</v>
      </c>
      <c r="H582" s="89" t="s">
        <v>38</v>
      </c>
      <c r="I582" s="89" t="b">
        <v>0</v>
      </c>
      <c r="J582" s="89"/>
      <c r="K582" s="89"/>
    </row>
    <row r="583" spans="1:11" ht="18" customHeight="1" x14ac:dyDescent="0.3">
      <c r="A583" s="89"/>
      <c r="B583" s="89"/>
      <c r="C583" s="89">
        <v>229</v>
      </c>
      <c r="D583" s="89">
        <v>2303300</v>
      </c>
      <c r="E583" s="89" t="s">
        <v>20</v>
      </c>
      <c r="F583" s="89">
        <v>0.12139999999999999</v>
      </c>
      <c r="G583" s="89">
        <v>0.87860000000000005</v>
      </c>
      <c r="H583" s="89" t="s">
        <v>31</v>
      </c>
      <c r="I583" s="89" t="b">
        <v>0</v>
      </c>
      <c r="J583" s="89"/>
      <c r="K583" s="89"/>
    </row>
    <row r="584" spans="1:11" ht="18" customHeight="1" x14ac:dyDescent="0.3">
      <c r="A584" s="89"/>
      <c r="B584" s="89"/>
      <c r="C584" s="89">
        <v>40</v>
      </c>
      <c r="D584" s="89">
        <v>1706053</v>
      </c>
      <c r="E584" s="89" t="s">
        <v>20</v>
      </c>
      <c r="F584" s="89">
        <v>0.1211</v>
      </c>
      <c r="G584" s="89">
        <v>0.87890000000000001</v>
      </c>
      <c r="H584" s="89" t="s">
        <v>38</v>
      </c>
      <c r="I584" s="89" t="b">
        <v>0</v>
      </c>
      <c r="J584" s="89"/>
      <c r="K584" s="89"/>
    </row>
    <row r="585" spans="1:11" ht="18" customHeight="1" x14ac:dyDescent="0.3">
      <c r="A585" s="89"/>
      <c r="B585" s="89"/>
      <c r="C585" s="89">
        <v>185</v>
      </c>
      <c r="D585" s="89">
        <v>2303243</v>
      </c>
      <c r="E585" s="89" t="s">
        <v>20</v>
      </c>
      <c r="F585" s="89">
        <v>0.1205</v>
      </c>
      <c r="G585" s="89">
        <v>0.87949999999999995</v>
      </c>
      <c r="H585" s="89" t="s">
        <v>31</v>
      </c>
      <c r="I585" s="89" t="b">
        <v>0</v>
      </c>
      <c r="J585" s="89"/>
      <c r="K585" s="89"/>
    </row>
    <row r="586" spans="1:11" ht="18" customHeight="1" x14ac:dyDescent="0.3">
      <c r="A586" s="89"/>
      <c r="B586" s="89"/>
      <c r="C586" s="89">
        <v>162</v>
      </c>
      <c r="D586" s="89">
        <v>1705188</v>
      </c>
      <c r="E586" s="89" t="s">
        <v>20</v>
      </c>
      <c r="F586" s="89">
        <v>0.1203</v>
      </c>
      <c r="G586" s="89">
        <v>0.87970000000000004</v>
      </c>
      <c r="H586" s="89" t="s">
        <v>31</v>
      </c>
      <c r="I586" s="89" t="b">
        <v>0</v>
      </c>
      <c r="J586" s="89"/>
      <c r="K586" s="89"/>
    </row>
    <row r="587" spans="1:11" ht="18" customHeight="1" x14ac:dyDescent="0.3">
      <c r="A587" s="89"/>
      <c r="B587" s="89"/>
      <c r="C587" s="89">
        <v>77</v>
      </c>
      <c r="D587" s="89">
        <v>1705092</v>
      </c>
      <c r="E587" s="89" t="s">
        <v>20</v>
      </c>
      <c r="F587" s="89">
        <v>0.1201</v>
      </c>
      <c r="G587" s="89">
        <v>0.87990000000000002</v>
      </c>
      <c r="H587" s="89" t="s">
        <v>31</v>
      </c>
      <c r="I587" s="89" t="b">
        <v>0</v>
      </c>
      <c r="J587" s="89"/>
      <c r="K587" s="89"/>
    </row>
    <row r="588" spans="1:11" ht="18" customHeight="1" x14ac:dyDescent="0.3">
      <c r="A588" s="89"/>
      <c r="B588" s="89"/>
      <c r="C588" s="89">
        <v>138</v>
      </c>
      <c r="D588" s="89">
        <v>2303184</v>
      </c>
      <c r="E588" s="89" t="s">
        <v>20</v>
      </c>
      <c r="F588" s="89">
        <v>0.1201</v>
      </c>
      <c r="G588" s="89">
        <v>0.87990000000000002</v>
      </c>
      <c r="H588" s="89" t="s">
        <v>38</v>
      </c>
      <c r="I588" s="89" t="b">
        <v>0</v>
      </c>
      <c r="J588" s="89"/>
      <c r="K588" s="89"/>
    </row>
    <row r="589" spans="1:11" ht="18" customHeight="1" x14ac:dyDescent="0.3">
      <c r="A589" s="89"/>
      <c r="B589" s="89"/>
      <c r="C589" s="89">
        <v>77</v>
      </c>
      <c r="D589" s="89">
        <v>1706097</v>
      </c>
      <c r="E589" s="89" t="s">
        <v>20</v>
      </c>
      <c r="F589" s="89">
        <v>0.1195</v>
      </c>
      <c r="G589" s="89">
        <v>0.88049999999999995</v>
      </c>
      <c r="H589" s="89" t="s">
        <v>38</v>
      </c>
      <c r="I589" s="89" t="b">
        <v>0</v>
      </c>
      <c r="J589" s="89"/>
      <c r="K589" s="89"/>
    </row>
    <row r="590" spans="1:11" ht="18" customHeight="1" x14ac:dyDescent="0.3">
      <c r="A590" s="89"/>
      <c r="B590" s="89"/>
      <c r="C590" s="89">
        <v>162</v>
      </c>
      <c r="D590" s="89">
        <v>1706196</v>
      </c>
      <c r="E590" s="89" t="s">
        <v>20</v>
      </c>
      <c r="F590" s="89">
        <v>0.1191</v>
      </c>
      <c r="G590" s="89">
        <v>0.88090000000000002</v>
      </c>
      <c r="H590" s="89" t="s">
        <v>38</v>
      </c>
      <c r="I590" s="89" t="b">
        <v>0</v>
      </c>
      <c r="J590" s="89"/>
      <c r="K590" s="89"/>
    </row>
    <row r="591" spans="1:11" ht="18" customHeight="1" x14ac:dyDescent="0.3">
      <c r="A591" s="89"/>
      <c r="B591" s="89"/>
      <c r="C591" s="89">
        <v>252</v>
      </c>
      <c r="D591" s="89">
        <v>1706320</v>
      </c>
      <c r="E591" s="89" t="s">
        <v>20</v>
      </c>
      <c r="F591" s="89">
        <v>0.1188</v>
      </c>
      <c r="G591" s="89">
        <v>0.88119999999999998</v>
      </c>
      <c r="H591" s="89" t="s">
        <v>41</v>
      </c>
      <c r="I591" s="89" t="b">
        <v>0</v>
      </c>
      <c r="J591" s="89"/>
      <c r="K591" s="89"/>
    </row>
    <row r="592" spans="1:11" ht="18" customHeight="1" x14ac:dyDescent="0.3">
      <c r="A592" s="89"/>
      <c r="B592" s="89"/>
      <c r="C592" s="89">
        <v>29</v>
      </c>
      <c r="D592" s="89">
        <v>1706037</v>
      </c>
      <c r="E592" s="89" t="s">
        <v>20</v>
      </c>
      <c r="F592" s="89">
        <v>0.11849999999999999</v>
      </c>
      <c r="G592" s="89">
        <v>0.88149999999999995</v>
      </c>
      <c r="H592" s="89" t="s">
        <v>46</v>
      </c>
      <c r="I592" s="89" t="b">
        <v>0</v>
      </c>
      <c r="J592" s="89"/>
      <c r="K592" s="89"/>
    </row>
    <row r="593" spans="1:11" ht="18" customHeight="1" x14ac:dyDescent="0.3">
      <c r="A593" s="89"/>
      <c r="B593" s="89"/>
      <c r="C593" s="89">
        <v>224</v>
      </c>
      <c r="D593" s="89">
        <v>1706278</v>
      </c>
      <c r="E593" s="89" t="s">
        <v>20</v>
      </c>
      <c r="F593" s="89">
        <v>0.11840000000000001</v>
      </c>
      <c r="G593" s="89">
        <v>0.88160000000000005</v>
      </c>
      <c r="H593" s="89" t="s">
        <v>31</v>
      </c>
      <c r="I593" s="89" t="b">
        <v>0</v>
      </c>
      <c r="J593" s="89"/>
      <c r="K593" s="89"/>
    </row>
    <row r="594" spans="1:11" ht="18" customHeight="1" x14ac:dyDescent="0.3">
      <c r="A594" s="89"/>
      <c r="B594" s="89"/>
      <c r="C594" s="89">
        <v>172</v>
      </c>
      <c r="D594" s="89">
        <v>1705207</v>
      </c>
      <c r="E594" s="89" t="s">
        <v>20</v>
      </c>
      <c r="F594" s="89">
        <v>0.1183</v>
      </c>
      <c r="G594" s="89">
        <v>0.88170000000000004</v>
      </c>
      <c r="H594" s="89" t="s">
        <v>33</v>
      </c>
      <c r="I594" s="89" t="b">
        <v>0</v>
      </c>
      <c r="J594" s="89"/>
      <c r="K594" s="89"/>
    </row>
    <row r="595" spans="1:11" ht="18" customHeight="1" x14ac:dyDescent="0.3">
      <c r="A595" s="89"/>
      <c r="B595" s="89"/>
      <c r="C595" s="89">
        <v>186</v>
      </c>
      <c r="D595" s="89">
        <v>1706220</v>
      </c>
      <c r="E595" s="89" t="s">
        <v>20</v>
      </c>
      <c r="F595" s="89">
        <v>0.1179</v>
      </c>
      <c r="G595" s="89">
        <v>0.8821</v>
      </c>
      <c r="H595" s="89" t="s">
        <v>46</v>
      </c>
      <c r="I595" s="89" t="b">
        <v>0</v>
      </c>
      <c r="J595" s="89"/>
      <c r="K595" s="89"/>
    </row>
    <row r="596" spans="1:11" ht="18" customHeight="1" x14ac:dyDescent="0.3">
      <c r="A596" s="89"/>
      <c r="B596" s="89"/>
      <c r="C596" s="89">
        <v>54</v>
      </c>
      <c r="D596" s="89">
        <v>2404074</v>
      </c>
      <c r="E596" s="89" t="s">
        <v>20</v>
      </c>
      <c r="F596" s="89">
        <v>0.1173</v>
      </c>
      <c r="G596" s="89">
        <v>0.88270000000000004</v>
      </c>
      <c r="H596" s="89" t="s">
        <v>31</v>
      </c>
      <c r="I596" s="89" t="b">
        <v>0</v>
      </c>
      <c r="J596" s="89"/>
      <c r="K596" s="89"/>
    </row>
    <row r="597" spans="1:11" ht="18" customHeight="1" x14ac:dyDescent="0.3">
      <c r="A597" s="89"/>
      <c r="B597" s="89"/>
      <c r="C597" s="89">
        <v>147</v>
      </c>
      <c r="D597" s="89">
        <v>1705170</v>
      </c>
      <c r="E597" s="89" t="s">
        <v>20</v>
      </c>
      <c r="F597" s="89">
        <v>0.11700000000000001</v>
      </c>
      <c r="G597" s="89">
        <v>0.88300000000000001</v>
      </c>
      <c r="H597" s="89" t="s">
        <v>31</v>
      </c>
      <c r="I597" s="89" t="b">
        <v>0</v>
      </c>
      <c r="J597" s="89"/>
      <c r="K597" s="89"/>
    </row>
    <row r="598" spans="1:11" ht="18" customHeight="1" x14ac:dyDescent="0.3">
      <c r="A598" s="89"/>
      <c r="B598" s="89"/>
      <c r="C598" s="89">
        <v>201</v>
      </c>
      <c r="D598" s="89">
        <v>2303263</v>
      </c>
      <c r="E598" s="89" t="s">
        <v>20</v>
      </c>
      <c r="F598" s="89">
        <v>0.1169</v>
      </c>
      <c r="G598" s="89">
        <v>0.8831</v>
      </c>
      <c r="H598" s="89" t="s">
        <v>38</v>
      </c>
      <c r="I598" s="89" t="b">
        <v>0</v>
      </c>
      <c r="J598" s="89"/>
      <c r="K598" s="89"/>
    </row>
    <row r="599" spans="1:11" ht="18" customHeight="1" x14ac:dyDescent="0.3">
      <c r="A599" s="89"/>
      <c r="B599" s="89"/>
      <c r="C599" s="89">
        <v>74</v>
      </c>
      <c r="D599" s="89">
        <v>2401093</v>
      </c>
      <c r="E599" s="89" t="s">
        <v>20</v>
      </c>
      <c r="F599" s="89">
        <v>0.1168</v>
      </c>
      <c r="G599" s="89">
        <v>0.88319999999999999</v>
      </c>
      <c r="H599" s="89" t="s">
        <v>38</v>
      </c>
      <c r="I599" s="89" t="b">
        <v>0</v>
      </c>
      <c r="J599" s="89"/>
      <c r="K599" s="89"/>
    </row>
    <row r="600" spans="1:11" ht="18" customHeight="1" x14ac:dyDescent="0.3">
      <c r="A600" s="89"/>
      <c r="B600" s="89"/>
      <c r="C600" s="89">
        <v>176</v>
      </c>
      <c r="D600" s="89">
        <v>1705211</v>
      </c>
      <c r="E600" s="89" t="s">
        <v>20</v>
      </c>
      <c r="F600" s="89">
        <v>0.1166</v>
      </c>
      <c r="G600" s="89">
        <v>0.88339999999999996</v>
      </c>
      <c r="H600" s="89" t="s">
        <v>31</v>
      </c>
      <c r="I600" s="89" t="b">
        <v>0</v>
      </c>
      <c r="J600" s="89"/>
      <c r="K600" s="89"/>
    </row>
    <row r="601" spans="1:11" ht="18" customHeight="1" x14ac:dyDescent="0.3">
      <c r="A601" s="89"/>
      <c r="B601" s="89"/>
      <c r="C601" s="89">
        <v>80</v>
      </c>
      <c r="D601" s="89">
        <v>1706100</v>
      </c>
      <c r="E601" s="89" t="s">
        <v>20</v>
      </c>
      <c r="F601" s="89">
        <v>0.1166</v>
      </c>
      <c r="G601" s="89">
        <v>0.88339999999999996</v>
      </c>
      <c r="H601" s="89" t="s">
        <v>31</v>
      </c>
      <c r="I601" s="89" t="b">
        <v>0</v>
      </c>
      <c r="J601" s="89"/>
      <c r="K601" s="89"/>
    </row>
    <row r="602" spans="1:11" ht="18" customHeight="1" x14ac:dyDescent="0.3">
      <c r="A602" s="89"/>
      <c r="B602" s="89"/>
      <c r="C602" s="89">
        <v>51</v>
      </c>
      <c r="D602" s="89">
        <v>2303060</v>
      </c>
      <c r="E602" s="89" t="s">
        <v>20</v>
      </c>
      <c r="F602" s="89">
        <v>0.1164</v>
      </c>
      <c r="G602" s="89">
        <v>0.88360000000000005</v>
      </c>
      <c r="H602" s="89" t="s">
        <v>38</v>
      </c>
      <c r="I602" s="89" t="b">
        <v>0</v>
      </c>
      <c r="J602" s="89"/>
      <c r="K602" s="89"/>
    </row>
    <row r="603" spans="1:11" ht="18" customHeight="1" x14ac:dyDescent="0.3">
      <c r="A603" s="89"/>
      <c r="B603" s="89"/>
      <c r="C603" s="89">
        <v>84</v>
      </c>
      <c r="D603" s="89">
        <v>2303110</v>
      </c>
      <c r="E603" s="89" t="s">
        <v>20</v>
      </c>
      <c r="F603" s="89">
        <v>0.11600000000000001</v>
      </c>
      <c r="G603" s="89">
        <v>0.88400000000000001</v>
      </c>
      <c r="H603" s="89" t="s">
        <v>38</v>
      </c>
      <c r="I603" s="89" t="b">
        <v>0</v>
      </c>
      <c r="J603" s="89"/>
      <c r="K603" s="89"/>
    </row>
    <row r="604" spans="1:11" ht="18" customHeight="1" x14ac:dyDescent="0.3">
      <c r="A604" s="89"/>
      <c r="B604" s="89"/>
      <c r="C604" s="89">
        <v>109</v>
      </c>
      <c r="D604" s="89">
        <v>2303143</v>
      </c>
      <c r="E604" s="89" t="s">
        <v>20</v>
      </c>
      <c r="F604" s="89">
        <v>0.11600000000000001</v>
      </c>
      <c r="G604" s="89">
        <v>0.88400000000000001</v>
      </c>
      <c r="H604" s="89" t="s">
        <v>38</v>
      </c>
      <c r="I604" s="89" t="b">
        <v>0</v>
      </c>
      <c r="J604" s="89"/>
      <c r="K604" s="89"/>
    </row>
    <row r="605" spans="1:11" ht="18" customHeight="1" x14ac:dyDescent="0.3">
      <c r="A605" s="89"/>
      <c r="B605" s="89"/>
      <c r="C605" s="89">
        <v>145</v>
      </c>
      <c r="D605" s="89">
        <v>2303193</v>
      </c>
      <c r="E605" s="89" t="s">
        <v>20</v>
      </c>
      <c r="F605" s="89">
        <v>0.1159</v>
      </c>
      <c r="G605" s="89">
        <v>0.8841</v>
      </c>
      <c r="H605" s="89" t="s">
        <v>28</v>
      </c>
      <c r="I605" s="89" t="b">
        <v>0</v>
      </c>
      <c r="J605" s="89"/>
      <c r="K605" s="89"/>
    </row>
    <row r="606" spans="1:11" ht="18.600000000000001" customHeight="1" x14ac:dyDescent="0.3">
      <c r="A606" s="89"/>
      <c r="B606" s="89"/>
      <c r="C606" s="89">
        <v>90</v>
      </c>
      <c r="D606" s="89">
        <v>2404127</v>
      </c>
      <c r="E606" s="89" t="s">
        <v>20</v>
      </c>
      <c r="F606" s="89">
        <v>0.1159</v>
      </c>
      <c r="G606" s="89">
        <v>0.8841</v>
      </c>
      <c r="H606" s="89" t="s">
        <v>33</v>
      </c>
      <c r="I606" s="89" t="b">
        <v>0</v>
      </c>
      <c r="J606" s="89"/>
      <c r="K606" s="89"/>
    </row>
    <row r="607" spans="1:11" x14ac:dyDescent="0.3">
      <c r="A607" s="89"/>
      <c r="B607" s="89"/>
      <c r="C607" s="89">
        <v>26</v>
      </c>
      <c r="D607" s="89">
        <v>2404039</v>
      </c>
      <c r="E607" s="89" t="s">
        <v>20</v>
      </c>
      <c r="F607" s="89">
        <v>0.1154</v>
      </c>
      <c r="G607" s="89">
        <v>0.88460000000000005</v>
      </c>
      <c r="H607" s="89" t="s">
        <v>31</v>
      </c>
      <c r="I607" s="89" t="b">
        <v>0</v>
      </c>
      <c r="J607" s="89"/>
      <c r="K607" s="89"/>
    </row>
    <row r="608" spans="1:11" x14ac:dyDescent="0.3">
      <c r="A608" s="89"/>
      <c r="B608" s="89"/>
      <c r="C608" s="89">
        <v>136</v>
      </c>
      <c r="D608" s="89">
        <v>1706166</v>
      </c>
      <c r="E608" s="89" t="s">
        <v>20</v>
      </c>
      <c r="F608" s="89">
        <v>0.11509999999999999</v>
      </c>
      <c r="G608" s="89">
        <v>0.88490000000000002</v>
      </c>
      <c r="H608" s="89" t="s">
        <v>38</v>
      </c>
      <c r="I608" s="89" t="b">
        <v>0</v>
      </c>
      <c r="J608" s="89"/>
      <c r="K608" s="89"/>
    </row>
    <row r="609" spans="1:11" x14ac:dyDescent="0.3">
      <c r="A609" s="89"/>
      <c r="B609" s="89"/>
      <c r="C609" s="89">
        <v>114</v>
      </c>
      <c r="D609" s="89">
        <v>2401144</v>
      </c>
      <c r="E609" s="89" t="s">
        <v>20</v>
      </c>
      <c r="F609" s="89">
        <v>0.1147</v>
      </c>
      <c r="G609" s="89">
        <v>0.88529999999999998</v>
      </c>
      <c r="H609" s="89" t="s">
        <v>31</v>
      </c>
      <c r="I609" s="89" t="b">
        <v>0</v>
      </c>
      <c r="J609" s="89"/>
      <c r="K609" s="89"/>
    </row>
    <row r="610" spans="1:11" x14ac:dyDescent="0.3">
      <c r="A610" s="89"/>
      <c r="B610" s="89"/>
      <c r="C610" s="89">
        <v>100</v>
      </c>
      <c r="D610" s="89">
        <v>2404139</v>
      </c>
      <c r="E610" s="89" t="s">
        <v>20</v>
      </c>
      <c r="F610" s="89">
        <v>0.1147</v>
      </c>
      <c r="G610" s="89">
        <v>0.88529999999999998</v>
      </c>
      <c r="H610" s="89" t="s">
        <v>28</v>
      </c>
      <c r="I610" s="89" t="b">
        <v>0</v>
      </c>
      <c r="J610" s="89"/>
      <c r="K610" s="89"/>
    </row>
    <row r="611" spans="1:11" x14ac:dyDescent="0.3">
      <c r="A611" s="89"/>
      <c r="B611" s="89"/>
      <c r="C611" s="89">
        <v>15</v>
      </c>
      <c r="D611" s="89">
        <v>1706021</v>
      </c>
      <c r="E611" s="89" t="s">
        <v>20</v>
      </c>
      <c r="F611" s="89">
        <v>0.11459999999999999</v>
      </c>
      <c r="G611" s="89">
        <v>0.88539999999999996</v>
      </c>
      <c r="H611" s="89" t="s">
        <v>31</v>
      </c>
      <c r="I611" s="89" t="b">
        <v>0</v>
      </c>
      <c r="J611" s="89"/>
      <c r="K611" s="89"/>
    </row>
    <row r="612" spans="1:11" x14ac:dyDescent="0.3">
      <c r="A612" s="89"/>
      <c r="B612" s="89"/>
      <c r="C612" s="89">
        <v>224</v>
      </c>
      <c r="D612" s="89">
        <v>1705266</v>
      </c>
      <c r="E612" s="89" t="s">
        <v>20</v>
      </c>
      <c r="F612" s="89">
        <v>0.1144</v>
      </c>
      <c r="G612" s="89">
        <v>0.88560000000000005</v>
      </c>
      <c r="H612" s="89" t="s">
        <v>38</v>
      </c>
      <c r="I612" s="89" t="b">
        <v>0</v>
      </c>
      <c r="J612" s="89"/>
      <c r="K612" s="89"/>
    </row>
    <row r="613" spans="1:11" x14ac:dyDescent="0.3">
      <c r="A613" s="89"/>
      <c r="B613" s="89"/>
      <c r="C613" s="89">
        <v>137</v>
      </c>
      <c r="D613" s="89">
        <v>2303183</v>
      </c>
      <c r="E613" s="89" t="s">
        <v>20</v>
      </c>
      <c r="F613" s="89">
        <v>0.114</v>
      </c>
      <c r="G613" s="89">
        <v>0.88600000000000001</v>
      </c>
      <c r="H613" s="89" t="s">
        <v>38</v>
      </c>
      <c r="I613" s="89" t="b">
        <v>0</v>
      </c>
      <c r="J613" s="89"/>
      <c r="K613" s="89"/>
    </row>
    <row r="614" spans="1:11" x14ac:dyDescent="0.3">
      <c r="A614" s="89"/>
      <c r="B614" s="89"/>
      <c r="C614" s="89">
        <v>102</v>
      </c>
      <c r="D614" s="89">
        <v>2303133</v>
      </c>
      <c r="E614" s="89" t="s">
        <v>20</v>
      </c>
      <c r="F614" s="89">
        <v>0.1138</v>
      </c>
      <c r="G614" s="89">
        <v>0.88619999999999999</v>
      </c>
      <c r="H614" s="89" t="s">
        <v>38</v>
      </c>
      <c r="I614" s="89" t="b">
        <v>0</v>
      </c>
      <c r="J614" s="89"/>
      <c r="K614" s="89"/>
    </row>
    <row r="615" spans="1:11" x14ac:dyDescent="0.3">
      <c r="A615" s="89"/>
      <c r="B615" s="89"/>
      <c r="C615" s="89">
        <v>120</v>
      </c>
      <c r="D615" s="89">
        <v>2303159</v>
      </c>
      <c r="E615" s="89" t="s">
        <v>20</v>
      </c>
      <c r="F615" s="89">
        <v>0.1138</v>
      </c>
      <c r="G615" s="89">
        <v>0.88619999999999999</v>
      </c>
      <c r="H615" s="89" t="s">
        <v>38</v>
      </c>
      <c r="I615" s="89" t="b">
        <v>0</v>
      </c>
      <c r="J615" s="89"/>
      <c r="K615" s="89"/>
    </row>
    <row r="616" spans="1:11" x14ac:dyDescent="0.3">
      <c r="A616" s="89"/>
      <c r="B616" s="89"/>
      <c r="C616" s="89">
        <v>213</v>
      </c>
      <c r="D616" s="89">
        <v>1706260</v>
      </c>
      <c r="E616" s="89" t="s">
        <v>20</v>
      </c>
      <c r="F616" s="89">
        <v>0.1137</v>
      </c>
      <c r="G616" s="89">
        <v>0.88629999999999998</v>
      </c>
      <c r="H616" s="89" t="s">
        <v>31</v>
      </c>
      <c r="I616" s="89" t="b">
        <v>0</v>
      </c>
      <c r="J616" s="89"/>
      <c r="K616" s="89"/>
    </row>
    <row r="617" spans="1:11" x14ac:dyDescent="0.3">
      <c r="A617" s="89"/>
      <c r="B617" s="89"/>
      <c r="C617" s="89">
        <v>160</v>
      </c>
      <c r="D617" s="89">
        <v>2303215</v>
      </c>
      <c r="E617" s="89" t="s">
        <v>20</v>
      </c>
      <c r="F617" s="89">
        <v>0.1137</v>
      </c>
      <c r="G617" s="89">
        <v>0.88629999999999998</v>
      </c>
      <c r="H617" s="89" t="s">
        <v>31</v>
      </c>
      <c r="I617" s="89" t="b">
        <v>0</v>
      </c>
      <c r="J617" s="89"/>
      <c r="K617" s="89"/>
    </row>
    <row r="618" spans="1:11" x14ac:dyDescent="0.3">
      <c r="A618" s="89"/>
      <c r="B618" s="89"/>
      <c r="C618" s="89">
        <v>6</v>
      </c>
      <c r="D618" s="89">
        <v>1706011</v>
      </c>
      <c r="E618" s="89" t="s">
        <v>20</v>
      </c>
      <c r="F618" s="89">
        <v>0.11310000000000001</v>
      </c>
      <c r="G618" s="89">
        <v>0.88690000000000002</v>
      </c>
      <c r="H618" s="89" t="s">
        <v>38</v>
      </c>
      <c r="I618" s="89" t="b">
        <v>0</v>
      </c>
      <c r="J618" s="89"/>
      <c r="K618" s="89"/>
    </row>
    <row r="619" spans="1:11" x14ac:dyDescent="0.3">
      <c r="A619" s="89"/>
      <c r="B619" s="89"/>
      <c r="C619" s="89">
        <v>130</v>
      </c>
      <c r="D619" s="89">
        <v>1706157</v>
      </c>
      <c r="E619" s="89" t="s">
        <v>20</v>
      </c>
      <c r="F619" s="89">
        <v>0.11310000000000001</v>
      </c>
      <c r="G619" s="89">
        <v>0.88690000000000002</v>
      </c>
      <c r="H619" s="89" t="s">
        <v>38</v>
      </c>
      <c r="I619" s="89" t="b">
        <v>0</v>
      </c>
      <c r="J619" s="89"/>
      <c r="K619" s="89"/>
    </row>
    <row r="620" spans="1:11" x14ac:dyDescent="0.3">
      <c r="A620" s="89"/>
      <c r="B620" s="89"/>
      <c r="C620" s="89">
        <v>90</v>
      </c>
      <c r="D620" s="89">
        <v>2401116</v>
      </c>
      <c r="E620" s="89" t="s">
        <v>20</v>
      </c>
      <c r="F620" s="89">
        <v>0.113</v>
      </c>
      <c r="G620" s="89">
        <v>0.88700000000000001</v>
      </c>
      <c r="H620" s="89" t="s">
        <v>38</v>
      </c>
      <c r="I620" s="89" t="b">
        <v>0</v>
      </c>
      <c r="J620" s="89"/>
      <c r="K620" s="89"/>
    </row>
    <row r="621" spans="1:11" x14ac:dyDescent="0.3">
      <c r="A621" s="89"/>
      <c r="B621" s="89"/>
      <c r="C621" s="89">
        <v>293</v>
      </c>
      <c r="D621" s="89">
        <v>2303372</v>
      </c>
      <c r="E621" s="89" t="s">
        <v>20</v>
      </c>
      <c r="F621" s="89">
        <v>0.1124</v>
      </c>
      <c r="G621" s="89">
        <v>0.88759999999999994</v>
      </c>
      <c r="H621" s="89" t="s">
        <v>33</v>
      </c>
      <c r="I621" s="89" t="b">
        <v>0</v>
      </c>
      <c r="J621" s="89"/>
      <c r="K621" s="89"/>
    </row>
    <row r="622" spans="1:11" x14ac:dyDescent="0.3">
      <c r="A622" s="89"/>
      <c r="B622" s="89"/>
      <c r="C622" s="89">
        <v>281</v>
      </c>
      <c r="D622" s="89">
        <v>1705368</v>
      </c>
      <c r="E622" s="89" t="s">
        <v>20</v>
      </c>
      <c r="F622" s="89">
        <v>0.1118</v>
      </c>
      <c r="G622" s="89">
        <v>0.88819999999999999</v>
      </c>
      <c r="H622" s="89" t="s">
        <v>31</v>
      </c>
      <c r="I622" s="89" t="b">
        <v>0</v>
      </c>
      <c r="J622" s="89"/>
      <c r="K622" s="89"/>
    </row>
    <row r="623" spans="1:11" x14ac:dyDescent="0.3">
      <c r="A623" s="89"/>
      <c r="B623" s="89"/>
      <c r="C623" s="89">
        <v>106</v>
      </c>
      <c r="D623" s="89">
        <v>1706128</v>
      </c>
      <c r="E623" s="89" t="s">
        <v>20</v>
      </c>
      <c r="F623" s="89">
        <v>0.1118</v>
      </c>
      <c r="G623" s="89">
        <v>0.88819999999999999</v>
      </c>
      <c r="H623" s="89" t="s">
        <v>31</v>
      </c>
      <c r="I623" s="89" t="b">
        <v>0</v>
      </c>
      <c r="J623" s="89"/>
      <c r="K623" s="89"/>
    </row>
    <row r="624" spans="1:11" x14ac:dyDescent="0.3">
      <c r="A624" s="89"/>
      <c r="B624" s="89"/>
      <c r="C624" s="89">
        <v>83</v>
      </c>
      <c r="D624" s="89">
        <v>2404116</v>
      </c>
      <c r="E624" s="89" t="s">
        <v>20</v>
      </c>
      <c r="F624" s="89">
        <v>0.1118</v>
      </c>
      <c r="G624" s="89">
        <v>0.88819999999999999</v>
      </c>
      <c r="H624" s="89" t="s">
        <v>38</v>
      </c>
      <c r="I624" s="89" t="b">
        <v>0</v>
      </c>
      <c r="J624" s="89"/>
      <c r="K624" s="89"/>
    </row>
    <row r="625" spans="1:11" x14ac:dyDescent="0.3">
      <c r="A625" s="89"/>
      <c r="B625" s="89"/>
      <c r="C625" s="89">
        <v>190</v>
      </c>
      <c r="D625" s="89">
        <v>1706225</v>
      </c>
      <c r="E625" s="89" t="s">
        <v>20</v>
      </c>
      <c r="F625" s="89">
        <v>0.1111</v>
      </c>
      <c r="G625" s="89">
        <v>0.88890000000000002</v>
      </c>
      <c r="H625" s="89" t="s">
        <v>31</v>
      </c>
      <c r="I625" s="89" t="b">
        <v>0</v>
      </c>
      <c r="J625" s="89"/>
      <c r="K625" s="89"/>
    </row>
    <row r="626" spans="1:11" x14ac:dyDescent="0.3">
      <c r="A626" s="89"/>
      <c r="B626" s="89"/>
      <c r="C626" s="89">
        <v>79</v>
      </c>
      <c r="D626" s="89">
        <v>2303100</v>
      </c>
      <c r="E626" s="89" t="s">
        <v>20</v>
      </c>
      <c r="F626" s="89">
        <v>0.11070000000000001</v>
      </c>
      <c r="G626" s="89">
        <v>0.88929999999999998</v>
      </c>
      <c r="H626" s="89" t="s">
        <v>38</v>
      </c>
      <c r="I626" s="89" t="b">
        <v>0</v>
      </c>
      <c r="J626" s="89"/>
      <c r="K626" s="89"/>
    </row>
    <row r="627" spans="1:11" x14ac:dyDescent="0.3">
      <c r="A627" s="89"/>
      <c r="B627" s="89"/>
      <c r="C627" s="89">
        <v>112</v>
      </c>
      <c r="D627" s="89">
        <v>1706137</v>
      </c>
      <c r="E627" s="89" t="s">
        <v>20</v>
      </c>
      <c r="F627" s="89">
        <v>0.11020000000000001</v>
      </c>
      <c r="G627" s="89">
        <v>0.88980000000000004</v>
      </c>
      <c r="H627" s="89" t="s">
        <v>31</v>
      </c>
      <c r="I627" s="89" t="b">
        <v>0</v>
      </c>
      <c r="J627" s="89"/>
      <c r="K627" s="89"/>
    </row>
    <row r="628" spans="1:11" x14ac:dyDescent="0.3">
      <c r="A628" s="89"/>
      <c r="B628" s="89"/>
      <c r="C628" s="89">
        <v>156</v>
      </c>
      <c r="D628" s="89">
        <v>1706189</v>
      </c>
      <c r="E628" s="89" t="s">
        <v>20</v>
      </c>
      <c r="F628" s="89">
        <v>0.11</v>
      </c>
      <c r="G628" s="89">
        <v>0.89</v>
      </c>
      <c r="H628" s="89" t="s">
        <v>31</v>
      </c>
      <c r="I628" s="89" t="b">
        <v>0</v>
      </c>
      <c r="J628" s="89"/>
      <c r="K628" s="89"/>
    </row>
    <row r="629" spans="1:11" x14ac:dyDescent="0.3">
      <c r="A629" s="89"/>
      <c r="B629" s="89"/>
      <c r="C629" s="89">
        <v>270</v>
      </c>
      <c r="D629" s="89">
        <v>2303348</v>
      </c>
      <c r="E629" s="89" t="s">
        <v>20</v>
      </c>
      <c r="F629" s="89">
        <v>0.11</v>
      </c>
      <c r="G629" s="89">
        <v>0.89</v>
      </c>
      <c r="H629" s="89" t="s">
        <v>33</v>
      </c>
      <c r="I629" s="89" t="b">
        <v>0</v>
      </c>
      <c r="J629" s="89"/>
      <c r="K629" s="89"/>
    </row>
    <row r="630" spans="1:11" x14ac:dyDescent="0.3">
      <c r="A630" s="89"/>
      <c r="B630" s="89"/>
      <c r="C630" s="89">
        <v>73</v>
      </c>
      <c r="D630" s="89">
        <v>2303093</v>
      </c>
      <c r="E630" s="89" t="s">
        <v>20</v>
      </c>
      <c r="F630" s="89">
        <v>0.10979999999999999</v>
      </c>
      <c r="G630" s="89">
        <v>0.89019999999999999</v>
      </c>
      <c r="H630" s="89" t="s">
        <v>38</v>
      </c>
      <c r="I630" s="89" t="b">
        <v>0</v>
      </c>
      <c r="J630" s="89"/>
      <c r="K630" s="89"/>
    </row>
    <row r="631" spans="1:11" x14ac:dyDescent="0.3">
      <c r="A631" s="89"/>
      <c r="B631" s="89"/>
      <c r="C631" s="89">
        <v>204</v>
      </c>
      <c r="D631" s="89">
        <v>1705242</v>
      </c>
      <c r="E631" s="89" t="s">
        <v>20</v>
      </c>
      <c r="F631" s="89">
        <v>0.1096</v>
      </c>
      <c r="G631" s="89">
        <v>0.89039999999999997</v>
      </c>
      <c r="H631" s="89" t="s">
        <v>31</v>
      </c>
      <c r="I631" s="89" t="b">
        <v>0</v>
      </c>
      <c r="J631" s="89"/>
      <c r="K631" s="89"/>
    </row>
    <row r="632" spans="1:11" x14ac:dyDescent="0.3">
      <c r="A632" s="89"/>
      <c r="B632" s="89"/>
      <c r="C632" s="89">
        <v>45</v>
      </c>
      <c r="D632" s="89">
        <v>1705049</v>
      </c>
      <c r="E632" s="89" t="s">
        <v>20</v>
      </c>
      <c r="F632" s="89">
        <v>0.10929999999999999</v>
      </c>
      <c r="G632" s="89">
        <v>0.89070000000000005</v>
      </c>
      <c r="H632" s="89" t="s">
        <v>31</v>
      </c>
      <c r="I632" s="89" t="b">
        <v>0</v>
      </c>
      <c r="J632" s="89"/>
      <c r="K632" s="89"/>
    </row>
    <row r="633" spans="1:11" x14ac:dyDescent="0.3">
      <c r="A633" s="89"/>
      <c r="B633" s="89"/>
      <c r="C633" s="89">
        <v>19</v>
      </c>
      <c r="D633" s="89">
        <v>1706026</v>
      </c>
      <c r="E633" s="89" t="s">
        <v>20</v>
      </c>
      <c r="F633" s="89">
        <v>0.1091</v>
      </c>
      <c r="G633" s="89">
        <v>0.89090000000000003</v>
      </c>
      <c r="H633" s="89" t="s">
        <v>31</v>
      </c>
      <c r="I633" s="89" t="b">
        <v>0</v>
      </c>
      <c r="J633" s="89"/>
      <c r="K633" s="89"/>
    </row>
    <row r="634" spans="1:11" x14ac:dyDescent="0.3">
      <c r="A634" s="89"/>
      <c r="B634" s="89"/>
      <c r="C634" s="89">
        <v>21</v>
      </c>
      <c r="D634" s="89">
        <v>2401029</v>
      </c>
      <c r="E634" s="89" t="s">
        <v>20</v>
      </c>
      <c r="F634" s="89">
        <v>0.109</v>
      </c>
      <c r="G634" s="89">
        <v>0.89100000000000001</v>
      </c>
      <c r="H634" s="89" t="s">
        <v>46</v>
      </c>
      <c r="I634" s="89" t="b">
        <v>0</v>
      </c>
      <c r="J634" s="89"/>
      <c r="K634" s="89"/>
    </row>
    <row r="635" spans="1:11" x14ac:dyDescent="0.3">
      <c r="A635" s="89"/>
      <c r="B635" s="89"/>
      <c r="C635" s="89">
        <v>113</v>
      </c>
      <c r="D635" s="89">
        <v>2404152</v>
      </c>
      <c r="E635" s="89" t="s">
        <v>20</v>
      </c>
      <c r="F635" s="89">
        <v>0.1087</v>
      </c>
      <c r="G635" s="89">
        <v>0.89129999999999998</v>
      </c>
      <c r="H635" s="89" t="s">
        <v>38</v>
      </c>
      <c r="I635" s="89" t="b">
        <v>0</v>
      </c>
      <c r="J635" s="89"/>
      <c r="K635" s="89"/>
    </row>
    <row r="636" spans="1:11" x14ac:dyDescent="0.3">
      <c r="A636" s="89"/>
      <c r="B636" s="89"/>
      <c r="C636" s="89">
        <v>274</v>
      </c>
      <c r="D636" s="89">
        <v>1705350</v>
      </c>
      <c r="E636" s="89" t="s">
        <v>20</v>
      </c>
      <c r="F636" s="89">
        <v>0.1085</v>
      </c>
      <c r="G636" s="89">
        <v>0.89149999999999996</v>
      </c>
      <c r="H636" s="89" t="s">
        <v>31</v>
      </c>
      <c r="I636" s="89" t="b">
        <v>0</v>
      </c>
      <c r="J636" s="89"/>
      <c r="K636" s="89"/>
    </row>
    <row r="637" spans="1:11" x14ac:dyDescent="0.3">
      <c r="A637" s="89"/>
      <c r="B637" s="89"/>
      <c r="C637" s="89">
        <v>230</v>
      </c>
      <c r="D637" s="89">
        <v>2303301</v>
      </c>
      <c r="E637" s="89" t="s">
        <v>20</v>
      </c>
      <c r="F637" s="89">
        <v>0.1082</v>
      </c>
      <c r="G637" s="89">
        <v>0.89180000000000004</v>
      </c>
      <c r="H637" s="89" t="s">
        <v>38</v>
      </c>
      <c r="I637" s="89" t="b">
        <v>0</v>
      </c>
      <c r="J637" s="89"/>
      <c r="K637" s="89"/>
    </row>
    <row r="638" spans="1:11" x14ac:dyDescent="0.3">
      <c r="A638" s="89"/>
      <c r="B638" s="89"/>
      <c r="C638" s="89">
        <v>146</v>
      </c>
      <c r="D638" s="89">
        <v>1705169</v>
      </c>
      <c r="E638" s="89" t="s">
        <v>20</v>
      </c>
      <c r="F638" s="89">
        <v>0.1079</v>
      </c>
      <c r="G638" s="89">
        <v>0.8921</v>
      </c>
      <c r="H638" s="89" t="s">
        <v>31</v>
      </c>
      <c r="I638" s="89" t="b">
        <v>0</v>
      </c>
      <c r="J638" s="89"/>
      <c r="K638" s="89"/>
    </row>
    <row r="639" spans="1:11" x14ac:dyDescent="0.3">
      <c r="A639" s="89"/>
      <c r="B639" s="89"/>
      <c r="C639" s="89">
        <v>201</v>
      </c>
      <c r="D639" s="89">
        <v>1705238</v>
      </c>
      <c r="E639" s="89" t="s">
        <v>20</v>
      </c>
      <c r="F639" s="89">
        <v>0.10780000000000001</v>
      </c>
      <c r="G639" s="89">
        <v>0.89219999999999999</v>
      </c>
      <c r="H639" s="89" t="s">
        <v>45</v>
      </c>
      <c r="I639" s="89" t="b">
        <v>0</v>
      </c>
      <c r="J639" s="89"/>
      <c r="K639" s="89"/>
    </row>
    <row r="640" spans="1:11" x14ac:dyDescent="0.3">
      <c r="A640" s="89"/>
      <c r="B640" s="89"/>
      <c r="C640" s="89">
        <v>237</v>
      </c>
      <c r="D640" s="89">
        <v>1706299</v>
      </c>
      <c r="E640" s="89" t="s">
        <v>20</v>
      </c>
      <c r="F640" s="89">
        <v>0.1077</v>
      </c>
      <c r="G640" s="89">
        <v>0.89229999999999998</v>
      </c>
      <c r="H640" s="89" t="s">
        <v>38</v>
      </c>
      <c r="I640" s="89" t="b">
        <v>0</v>
      </c>
      <c r="J640" s="89"/>
      <c r="K640" s="89"/>
    </row>
    <row r="641" spans="1:11" x14ac:dyDescent="0.3">
      <c r="A641" s="89"/>
      <c r="B641" s="89"/>
      <c r="C641" s="89">
        <v>37</v>
      </c>
      <c r="D641" s="89">
        <v>1705041</v>
      </c>
      <c r="E641" s="89" t="s">
        <v>20</v>
      </c>
      <c r="F641" s="89">
        <v>0.1076</v>
      </c>
      <c r="G641" s="89">
        <v>0.89239999999999997</v>
      </c>
      <c r="H641" s="89" t="s">
        <v>31</v>
      </c>
      <c r="I641" s="89" t="b">
        <v>0</v>
      </c>
      <c r="J641" s="89"/>
      <c r="K641" s="89"/>
    </row>
    <row r="642" spans="1:11" x14ac:dyDescent="0.3">
      <c r="A642" s="89"/>
      <c r="B642" s="89"/>
      <c r="C642" s="89">
        <v>47</v>
      </c>
      <c r="D642" s="89">
        <v>1705051</v>
      </c>
      <c r="E642" s="89" t="s">
        <v>20</v>
      </c>
      <c r="F642" s="89">
        <v>0.1075</v>
      </c>
      <c r="G642" s="89">
        <v>0.89249999999999996</v>
      </c>
      <c r="H642" s="89" t="s">
        <v>31</v>
      </c>
      <c r="I642" s="89" t="b">
        <v>0</v>
      </c>
      <c r="J642" s="89"/>
      <c r="K642" s="89"/>
    </row>
    <row r="643" spans="1:11" x14ac:dyDescent="0.3">
      <c r="A643" s="89"/>
      <c r="B643" s="89"/>
      <c r="C643" s="89">
        <v>62</v>
      </c>
      <c r="D643" s="89">
        <v>2401078</v>
      </c>
      <c r="E643" s="89" t="s">
        <v>20</v>
      </c>
      <c r="F643" s="89">
        <v>0.10730000000000001</v>
      </c>
      <c r="G643" s="89">
        <v>0.89270000000000005</v>
      </c>
      <c r="H643" s="89" t="s">
        <v>31</v>
      </c>
      <c r="I643" s="89" t="b">
        <v>0</v>
      </c>
      <c r="J643" s="89"/>
      <c r="K643" s="89"/>
    </row>
    <row r="644" spans="1:11" x14ac:dyDescent="0.3">
      <c r="A644" s="89"/>
      <c r="B644" s="89"/>
      <c r="C644" s="89">
        <v>196</v>
      </c>
      <c r="D644" s="89">
        <v>2303257</v>
      </c>
      <c r="E644" s="89" t="s">
        <v>20</v>
      </c>
      <c r="F644" s="89">
        <v>0.1072</v>
      </c>
      <c r="G644" s="89">
        <v>0.89280000000000004</v>
      </c>
      <c r="H644" s="89" t="s">
        <v>38</v>
      </c>
      <c r="I644" s="89" t="b">
        <v>0</v>
      </c>
      <c r="J644" s="89"/>
      <c r="K644" s="89"/>
    </row>
    <row r="645" spans="1:11" x14ac:dyDescent="0.3">
      <c r="A645" s="89"/>
      <c r="B645" s="89"/>
      <c r="C645" s="89">
        <v>5</v>
      </c>
      <c r="D645" s="89">
        <v>2404008</v>
      </c>
      <c r="E645" s="89" t="s">
        <v>20</v>
      </c>
      <c r="F645" s="89">
        <v>0.1072</v>
      </c>
      <c r="G645" s="89">
        <v>0.89280000000000004</v>
      </c>
      <c r="H645" s="89" t="s">
        <v>31</v>
      </c>
      <c r="I645" s="89" t="b">
        <v>0</v>
      </c>
      <c r="J645" s="89"/>
      <c r="K645" s="89"/>
    </row>
    <row r="646" spans="1:11" x14ac:dyDescent="0.3">
      <c r="A646" s="89"/>
      <c r="B646" s="89"/>
      <c r="C646" s="89">
        <v>260</v>
      </c>
      <c r="D646" s="89">
        <v>1706333</v>
      </c>
      <c r="E646" s="89" t="s">
        <v>20</v>
      </c>
      <c r="F646" s="89">
        <v>0.10680000000000001</v>
      </c>
      <c r="G646" s="89">
        <v>0.89319999999999999</v>
      </c>
      <c r="H646" s="89" t="s">
        <v>31</v>
      </c>
      <c r="I646" s="89" t="b">
        <v>0</v>
      </c>
      <c r="J646" s="89"/>
      <c r="K646" s="89"/>
    </row>
    <row r="647" spans="1:11" x14ac:dyDescent="0.3">
      <c r="A647" s="89"/>
      <c r="B647" s="89"/>
      <c r="C647" s="89">
        <v>216</v>
      </c>
      <c r="D647" s="89">
        <v>1705257</v>
      </c>
      <c r="E647" s="89" t="s">
        <v>20</v>
      </c>
      <c r="F647" s="89">
        <v>0.1067</v>
      </c>
      <c r="G647" s="89">
        <v>0.89329999999999998</v>
      </c>
      <c r="H647" s="89" t="s">
        <v>38</v>
      </c>
      <c r="I647" s="89" t="b">
        <v>0</v>
      </c>
      <c r="J647" s="89"/>
      <c r="K647" s="89"/>
    </row>
    <row r="648" spans="1:11" x14ac:dyDescent="0.3">
      <c r="A648" s="89"/>
      <c r="B648" s="89"/>
      <c r="C648" s="89">
        <v>123</v>
      </c>
      <c r="D648" s="89">
        <v>1706150</v>
      </c>
      <c r="E648" s="89" t="s">
        <v>20</v>
      </c>
      <c r="F648" s="89">
        <v>0.1067</v>
      </c>
      <c r="G648" s="89">
        <v>0.89329999999999998</v>
      </c>
      <c r="H648" s="89" t="s">
        <v>46</v>
      </c>
      <c r="I648" s="89" t="b">
        <v>0</v>
      </c>
      <c r="J648" s="89"/>
      <c r="K648" s="89"/>
    </row>
    <row r="649" spans="1:11" x14ac:dyDescent="0.3">
      <c r="A649" s="89"/>
      <c r="B649" s="89"/>
      <c r="C649" s="89">
        <v>56</v>
      </c>
      <c r="D649" s="89">
        <v>1705064</v>
      </c>
      <c r="E649" s="89" t="s">
        <v>20</v>
      </c>
      <c r="F649" s="89">
        <v>0.1066</v>
      </c>
      <c r="G649" s="89">
        <v>0.89339999999999997</v>
      </c>
      <c r="H649" s="89" t="s">
        <v>31</v>
      </c>
      <c r="I649" s="89" t="b">
        <v>0</v>
      </c>
      <c r="J649" s="89"/>
      <c r="K649" s="89"/>
    </row>
    <row r="650" spans="1:11" x14ac:dyDescent="0.3">
      <c r="A650" s="89"/>
      <c r="B650" s="89"/>
      <c r="C650" s="89">
        <v>215</v>
      </c>
      <c r="D650" s="89">
        <v>1705256</v>
      </c>
      <c r="E650" s="89" t="s">
        <v>20</v>
      </c>
      <c r="F650" s="89">
        <v>0.1066</v>
      </c>
      <c r="G650" s="89">
        <v>0.89339999999999997</v>
      </c>
      <c r="H650" s="89" t="s">
        <v>38</v>
      </c>
      <c r="I650" s="89" t="b">
        <v>0</v>
      </c>
      <c r="J650" s="89"/>
      <c r="K650" s="89"/>
    </row>
    <row r="651" spans="1:11" x14ac:dyDescent="0.3">
      <c r="A651" s="89"/>
      <c r="B651" s="89"/>
      <c r="C651" s="89">
        <v>2</v>
      </c>
      <c r="D651" s="89">
        <v>2404002</v>
      </c>
      <c r="E651" s="89" t="s">
        <v>20</v>
      </c>
      <c r="F651" s="89">
        <v>0.10639999999999999</v>
      </c>
      <c r="G651" s="89">
        <v>0.89359999999999995</v>
      </c>
      <c r="H651" s="89" t="s">
        <v>41</v>
      </c>
      <c r="I651" s="89" t="b">
        <v>0</v>
      </c>
      <c r="J651" s="89"/>
      <c r="K651" s="89"/>
    </row>
    <row r="652" spans="1:11" x14ac:dyDescent="0.3">
      <c r="A652" s="89"/>
      <c r="B652" s="89"/>
      <c r="C652" s="89">
        <v>123</v>
      </c>
      <c r="D652" s="89">
        <v>2404167</v>
      </c>
      <c r="E652" s="89" t="s">
        <v>20</v>
      </c>
      <c r="F652" s="89">
        <v>0.10639999999999999</v>
      </c>
      <c r="G652" s="89">
        <v>0.89359999999999995</v>
      </c>
      <c r="H652" s="89" t="s">
        <v>38</v>
      </c>
      <c r="I652" s="89" t="b">
        <v>0</v>
      </c>
      <c r="J652" s="89"/>
      <c r="K652" s="89"/>
    </row>
    <row r="653" spans="1:11" x14ac:dyDescent="0.3">
      <c r="A653" s="89"/>
      <c r="B653" s="89"/>
      <c r="C653" s="89">
        <v>72</v>
      </c>
      <c r="D653" s="89">
        <v>2401090</v>
      </c>
      <c r="E653" s="89" t="s">
        <v>20</v>
      </c>
      <c r="F653" s="89">
        <v>0.1061</v>
      </c>
      <c r="G653" s="89">
        <v>0.89390000000000003</v>
      </c>
      <c r="H653" s="89" t="s">
        <v>31</v>
      </c>
      <c r="I653" s="89" t="b">
        <v>0</v>
      </c>
      <c r="J653" s="89"/>
      <c r="K653" s="89"/>
    </row>
    <row r="654" spans="1:11" x14ac:dyDescent="0.3">
      <c r="A654" s="89"/>
      <c r="B654" s="89"/>
      <c r="C654" s="89">
        <v>260</v>
      </c>
      <c r="D654" s="89">
        <v>1705325</v>
      </c>
      <c r="E654" s="89" t="s">
        <v>20</v>
      </c>
      <c r="F654" s="89">
        <v>0.10589999999999999</v>
      </c>
      <c r="G654" s="89">
        <v>0.89410000000000001</v>
      </c>
      <c r="H654" s="89" t="s">
        <v>31</v>
      </c>
      <c r="I654" s="89" t="b">
        <v>0</v>
      </c>
      <c r="J654" s="89"/>
      <c r="K654" s="89"/>
    </row>
    <row r="655" spans="1:11" x14ac:dyDescent="0.3">
      <c r="A655" s="89"/>
      <c r="B655" s="89"/>
      <c r="C655" s="89">
        <v>100</v>
      </c>
      <c r="D655" s="89">
        <v>1705117</v>
      </c>
      <c r="E655" s="89" t="s">
        <v>20</v>
      </c>
      <c r="F655" s="89">
        <v>0.1056</v>
      </c>
      <c r="G655" s="89">
        <v>0.89439999999999997</v>
      </c>
      <c r="H655" s="89" t="s">
        <v>31</v>
      </c>
      <c r="I655" s="89" t="b">
        <v>0</v>
      </c>
      <c r="J655" s="89"/>
      <c r="K655" s="89"/>
    </row>
    <row r="656" spans="1:11" x14ac:dyDescent="0.3">
      <c r="A656" s="89"/>
      <c r="B656" s="89"/>
      <c r="C656" s="89">
        <v>41</v>
      </c>
      <c r="D656" s="89">
        <v>1705045</v>
      </c>
      <c r="E656" s="89" t="s">
        <v>20</v>
      </c>
      <c r="F656" s="89">
        <v>0.1055</v>
      </c>
      <c r="G656" s="89">
        <v>0.89449999999999996</v>
      </c>
      <c r="H656" s="89" t="s">
        <v>31</v>
      </c>
      <c r="I656" s="89" t="b">
        <v>0</v>
      </c>
      <c r="J656" s="89"/>
      <c r="K656" s="89"/>
    </row>
    <row r="657" spans="1:11" x14ac:dyDescent="0.3">
      <c r="A657" s="89"/>
      <c r="B657" s="89"/>
      <c r="C657" s="89">
        <v>73</v>
      </c>
      <c r="D657" s="89">
        <v>2404103</v>
      </c>
      <c r="E657" s="89" t="s">
        <v>20</v>
      </c>
      <c r="F657" s="89">
        <v>0.10539999999999999</v>
      </c>
      <c r="G657" s="89">
        <v>0.89459999999999995</v>
      </c>
      <c r="H657" s="89" t="s">
        <v>33</v>
      </c>
      <c r="I657" s="89" t="b">
        <v>0</v>
      </c>
      <c r="J657" s="89"/>
      <c r="K657" s="89"/>
    </row>
    <row r="658" spans="1:11" x14ac:dyDescent="0.3">
      <c r="A658" s="89"/>
      <c r="B658" s="89"/>
      <c r="C658" s="89">
        <v>191</v>
      </c>
      <c r="D658" s="89">
        <v>1705228</v>
      </c>
      <c r="E658" s="89" t="s">
        <v>20</v>
      </c>
      <c r="F658" s="89">
        <v>0.1053</v>
      </c>
      <c r="G658" s="89">
        <v>0.89470000000000005</v>
      </c>
      <c r="H658" s="89" t="s">
        <v>31</v>
      </c>
      <c r="I658" s="89" t="b">
        <v>0</v>
      </c>
      <c r="J658" s="89"/>
      <c r="K658" s="89"/>
    </row>
    <row r="659" spans="1:11" x14ac:dyDescent="0.3">
      <c r="A659" s="89"/>
      <c r="B659" s="89"/>
      <c r="C659" s="89">
        <v>30</v>
      </c>
      <c r="D659" s="89">
        <v>2303039</v>
      </c>
      <c r="E659" s="89" t="s">
        <v>20</v>
      </c>
      <c r="F659" s="89">
        <v>0.1043</v>
      </c>
      <c r="G659" s="89">
        <v>0.89570000000000005</v>
      </c>
      <c r="H659" s="89" t="s">
        <v>31</v>
      </c>
      <c r="I659" s="89" t="b">
        <v>0</v>
      </c>
      <c r="J659" s="89"/>
      <c r="K659" s="89"/>
    </row>
    <row r="660" spans="1:11" x14ac:dyDescent="0.3">
      <c r="A660" s="89"/>
      <c r="B660" s="89"/>
      <c r="C660" s="89">
        <v>136</v>
      </c>
      <c r="D660" s="89">
        <v>1705159</v>
      </c>
      <c r="E660" s="89" t="s">
        <v>20</v>
      </c>
      <c r="F660" s="89">
        <v>0.1042</v>
      </c>
      <c r="G660" s="89">
        <v>0.89580000000000004</v>
      </c>
      <c r="H660" s="89" t="s">
        <v>31</v>
      </c>
      <c r="I660" s="89" t="b">
        <v>0</v>
      </c>
      <c r="J660" s="89"/>
      <c r="K660" s="89"/>
    </row>
    <row r="661" spans="1:11" x14ac:dyDescent="0.3">
      <c r="A661" s="89"/>
      <c r="B661" s="89"/>
      <c r="C661" s="89">
        <v>2</v>
      </c>
      <c r="D661" s="89">
        <v>2303003</v>
      </c>
      <c r="E661" s="89" t="s">
        <v>20</v>
      </c>
      <c r="F661" s="89">
        <v>0.1042</v>
      </c>
      <c r="G661" s="89">
        <v>0.89580000000000004</v>
      </c>
      <c r="H661" s="89" t="s">
        <v>28</v>
      </c>
      <c r="I661" s="89" t="b">
        <v>0</v>
      </c>
      <c r="J661" s="89"/>
      <c r="K661" s="89"/>
    </row>
    <row r="662" spans="1:11" x14ac:dyDescent="0.3">
      <c r="A662" s="89"/>
      <c r="B662" s="89"/>
      <c r="C662" s="89">
        <v>65</v>
      </c>
      <c r="D662" s="89">
        <v>2303083</v>
      </c>
      <c r="E662" s="89" t="s">
        <v>20</v>
      </c>
      <c r="F662" s="89">
        <v>0.1042</v>
      </c>
      <c r="G662" s="89">
        <v>0.89580000000000004</v>
      </c>
      <c r="H662" s="89" t="s">
        <v>38</v>
      </c>
      <c r="I662" s="89" t="b">
        <v>0</v>
      </c>
      <c r="J662" s="89"/>
      <c r="K662" s="89"/>
    </row>
    <row r="663" spans="1:11" x14ac:dyDescent="0.3">
      <c r="A663" s="89"/>
      <c r="B663" s="89"/>
      <c r="C663" s="89">
        <v>152</v>
      </c>
      <c r="D663" s="89">
        <v>1706185</v>
      </c>
      <c r="E663" s="89" t="s">
        <v>20</v>
      </c>
      <c r="F663" s="89">
        <v>0.104</v>
      </c>
      <c r="G663" s="89">
        <v>0.89600000000000002</v>
      </c>
      <c r="H663" s="89" t="s">
        <v>38</v>
      </c>
      <c r="I663" s="89" t="b">
        <v>0</v>
      </c>
      <c r="J663" s="89"/>
      <c r="K663" s="89"/>
    </row>
    <row r="664" spans="1:11" x14ac:dyDescent="0.3">
      <c r="A664" s="89"/>
      <c r="B664" s="89"/>
      <c r="C664" s="89">
        <v>115</v>
      </c>
      <c r="D664" s="89">
        <v>2404155</v>
      </c>
      <c r="E664" s="89" t="s">
        <v>20</v>
      </c>
      <c r="F664" s="89">
        <v>0.10390000000000001</v>
      </c>
      <c r="G664" s="89">
        <v>0.89610000000000001</v>
      </c>
      <c r="H664" s="89" t="s">
        <v>26</v>
      </c>
      <c r="I664" s="89" t="b">
        <v>0</v>
      </c>
      <c r="J664" s="89"/>
      <c r="K664" s="89"/>
    </row>
    <row r="665" spans="1:11" x14ac:dyDescent="0.3">
      <c r="A665" s="89"/>
      <c r="B665" s="89"/>
      <c r="C665" s="89">
        <v>296</v>
      </c>
      <c r="D665" s="89">
        <v>1705396</v>
      </c>
      <c r="E665" s="89" t="s">
        <v>20</v>
      </c>
      <c r="F665" s="89">
        <v>0.1037</v>
      </c>
      <c r="G665" s="89">
        <v>0.89629999999999999</v>
      </c>
      <c r="H665" s="89" t="s">
        <v>31</v>
      </c>
      <c r="I665" s="89" t="b">
        <v>0</v>
      </c>
      <c r="J665" s="89"/>
      <c r="K665" s="89"/>
    </row>
    <row r="666" spans="1:11" x14ac:dyDescent="0.3">
      <c r="A666" s="89"/>
      <c r="B666" s="89"/>
      <c r="C666" s="89">
        <v>185</v>
      </c>
      <c r="D666" s="89">
        <v>1705221</v>
      </c>
      <c r="E666" s="89" t="s">
        <v>20</v>
      </c>
      <c r="F666" s="89">
        <v>0.1028</v>
      </c>
      <c r="G666" s="89">
        <v>0.8972</v>
      </c>
      <c r="H666" s="89" t="s">
        <v>38</v>
      </c>
      <c r="I666" s="89" t="b">
        <v>0</v>
      </c>
      <c r="J666" s="89"/>
      <c r="K666" s="89"/>
    </row>
    <row r="667" spans="1:11" x14ac:dyDescent="0.3">
      <c r="A667" s="89"/>
      <c r="B667" s="89"/>
      <c r="C667" s="89">
        <v>220</v>
      </c>
      <c r="D667" s="89">
        <v>1706274</v>
      </c>
      <c r="E667" s="89" t="s">
        <v>20</v>
      </c>
      <c r="F667" s="89">
        <v>0.1023</v>
      </c>
      <c r="G667" s="89">
        <v>0.89770000000000005</v>
      </c>
      <c r="H667" s="89" t="s">
        <v>31</v>
      </c>
      <c r="I667" s="89" t="b">
        <v>0</v>
      </c>
      <c r="J667" s="89"/>
      <c r="K667" s="89"/>
    </row>
    <row r="668" spans="1:11" x14ac:dyDescent="0.3">
      <c r="A668" s="89"/>
      <c r="B668" s="89"/>
      <c r="C668" s="89">
        <v>35</v>
      </c>
      <c r="D668" s="89">
        <v>2401048</v>
      </c>
      <c r="E668" s="89" t="s">
        <v>20</v>
      </c>
      <c r="F668" s="89">
        <v>0.1021</v>
      </c>
      <c r="G668" s="89">
        <v>0.89790000000000003</v>
      </c>
      <c r="H668" s="89" t="s">
        <v>46</v>
      </c>
      <c r="I668" s="89" t="b">
        <v>0</v>
      </c>
      <c r="J668" s="89"/>
      <c r="K668" s="89"/>
    </row>
    <row r="669" spans="1:11" x14ac:dyDescent="0.3">
      <c r="A669" s="89"/>
      <c r="B669" s="89"/>
      <c r="C669" s="89">
        <v>25</v>
      </c>
      <c r="D669" s="89">
        <v>2404038</v>
      </c>
      <c r="E669" s="89" t="s">
        <v>20</v>
      </c>
      <c r="F669" s="89">
        <v>0.1021</v>
      </c>
      <c r="G669" s="89">
        <v>0.89790000000000003</v>
      </c>
      <c r="H669" s="89" t="s">
        <v>31</v>
      </c>
      <c r="I669" s="89" t="b">
        <v>0</v>
      </c>
      <c r="J669" s="89"/>
      <c r="K669" s="89"/>
    </row>
    <row r="670" spans="1:11" x14ac:dyDescent="0.3">
      <c r="A670" s="89"/>
      <c r="B670" s="89"/>
      <c r="C670" s="89">
        <v>42</v>
      </c>
      <c r="D670" s="89">
        <v>2404061</v>
      </c>
      <c r="E670" s="89" t="s">
        <v>20</v>
      </c>
      <c r="F670" s="89">
        <v>0.1019</v>
      </c>
      <c r="G670" s="89">
        <v>0.89810000000000001</v>
      </c>
      <c r="H670" s="89" t="s">
        <v>38</v>
      </c>
      <c r="I670" s="89" t="b">
        <v>0</v>
      </c>
      <c r="J670" s="89"/>
      <c r="K670" s="89"/>
    </row>
    <row r="671" spans="1:11" x14ac:dyDescent="0.3">
      <c r="A671" s="89"/>
      <c r="B671" s="89"/>
      <c r="C671" s="89">
        <v>101</v>
      </c>
      <c r="D671" s="89">
        <v>2303132</v>
      </c>
      <c r="E671" s="89" t="s">
        <v>20</v>
      </c>
      <c r="F671" s="89">
        <v>0.1013</v>
      </c>
      <c r="G671" s="89">
        <v>0.89870000000000005</v>
      </c>
      <c r="H671" s="89" t="s">
        <v>38</v>
      </c>
      <c r="I671" s="89" t="b">
        <v>0</v>
      </c>
      <c r="J671" s="89"/>
      <c r="K671" s="89"/>
    </row>
    <row r="672" spans="1:11" x14ac:dyDescent="0.3">
      <c r="A672" s="89"/>
      <c r="B672" s="89"/>
      <c r="C672" s="89">
        <v>53</v>
      </c>
      <c r="D672" s="89">
        <v>2401068</v>
      </c>
      <c r="E672" s="89" t="s">
        <v>20</v>
      </c>
      <c r="F672" s="89">
        <v>0.1008</v>
      </c>
      <c r="G672" s="89">
        <v>0.8992</v>
      </c>
      <c r="H672" s="89" t="s">
        <v>45</v>
      </c>
      <c r="I672" s="89" t="b">
        <v>0</v>
      </c>
      <c r="J672" s="89"/>
      <c r="K672" s="89"/>
    </row>
    <row r="673" spans="1:11" x14ac:dyDescent="0.3">
      <c r="A673" s="89"/>
      <c r="B673" s="89"/>
      <c r="C673" s="89">
        <v>23</v>
      </c>
      <c r="D673" s="89">
        <v>2303029</v>
      </c>
      <c r="E673" s="89" t="s">
        <v>20</v>
      </c>
      <c r="F673" s="89">
        <v>0.1007</v>
      </c>
      <c r="G673" s="89">
        <v>0.89929999999999999</v>
      </c>
      <c r="H673" s="89" t="s">
        <v>31</v>
      </c>
      <c r="I673" s="89" t="b">
        <v>0</v>
      </c>
      <c r="J673" s="89"/>
      <c r="K673" s="89"/>
    </row>
    <row r="674" spans="1:11" x14ac:dyDescent="0.3">
      <c r="A674" s="89"/>
      <c r="B674" s="89"/>
      <c r="C674" s="89">
        <v>277</v>
      </c>
      <c r="D674" s="89">
        <v>1705362</v>
      </c>
      <c r="E674" s="89" t="s">
        <v>20</v>
      </c>
      <c r="F674" s="89">
        <v>0.10050000000000001</v>
      </c>
      <c r="G674" s="89">
        <v>0.89949999999999997</v>
      </c>
      <c r="H674" s="89" t="s">
        <v>38</v>
      </c>
      <c r="I674" s="89" t="b">
        <v>0</v>
      </c>
      <c r="J674" s="89"/>
      <c r="K674" s="89"/>
    </row>
    <row r="675" spans="1:11" x14ac:dyDescent="0.3">
      <c r="A675" s="89"/>
      <c r="B675" s="89"/>
      <c r="C675" s="89">
        <v>26</v>
      </c>
      <c r="D675" s="89">
        <v>1705029</v>
      </c>
      <c r="E675" s="89" t="s">
        <v>20</v>
      </c>
      <c r="F675" s="89">
        <v>0.1004</v>
      </c>
      <c r="G675" s="89">
        <v>0.89959999999999996</v>
      </c>
      <c r="H675" s="89" t="s">
        <v>31</v>
      </c>
      <c r="I675" s="89" t="b">
        <v>0</v>
      </c>
      <c r="J675" s="89"/>
      <c r="K675" s="89"/>
    </row>
    <row r="676" spans="1:11" x14ac:dyDescent="0.3">
      <c r="A676" s="89"/>
      <c r="B676" s="89"/>
      <c r="C676" s="89">
        <v>119</v>
      </c>
      <c r="D676" s="89">
        <v>2404161</v>
      </c>
      <c r="E676" s="89" t="s">
        <v>20</v>
      </c>
      <c r="F676" s="89">
        <v>9.9900000000000003E-2</v>
      </c>
      <c r="G676" s="89">
        <v>0.90010000000000001</v>
      </c>
      <c r="H676" s="89" t="s">
        <v>26</v>
      </c>
      <c r="I676" s="89" t="b">
        <v>0</v>
      </c>
      <c r="J676" s="89"/>
      <c r="K676" s="89"/>
    </row>
    <row r="677" spans="1:11" x14ac:dyDescent="0.3">
      <c r="A677" s="89"/>
      <c r="B677" s="89"/>
      <c r="C677" s="89">
        <v>135</v>
      </c>
      <c r="D677" s="89">
        <v>2303179</v>
      </c>
      <c r="E677" s="89" t="s">
        <v>20</v>
      </c>
      <c r="F677" s="89">
        <v>9.98E-2</v>
      </c>
      <c r="G677" s="89">
        <v>0.9002</v>
      </c>
      <c r="H677" s="89" t="s">
        <v>38</v>
      </c>
      <c r="I677" s="89" t="b">
        <v>0</v>
      </c>
      <c r="J677" s="89"/>
      <c r="K677" s="89"/>
    </row>
    <row r="678" spans="1:11" x14ac:dyDescent="0.3">
      <c r="A678" s="89"/>
      <c r="B678" s="89"/>
      <c r="C678" s="89">
        <v>60</v>
      </c>
      <c r="D678" s="89">
        <v>1706073</v>
      </c>
      <c r="E678" s="89" t="s">
        <v>20</v>
      </c>
      <c r="F678" s="89">
        <v>9.9599999999999994E-2</v>
      </c>
      <c r="G678" s="89">
        <v>0.90039999999999998</v>
      </c>
      <c r="H678" s="89" t="s">
        <v>38</v>
      </c>
      <c r="I678" s="89" t="b">
        <v>0</v>
      </c>
      <c r="J678" s="89"/>
      <c r="K678" s="89"/>
    </row>
    <row r="679" spans="1:11" x14ac:dyDescent="0.3">
      <c r="A679" s="89"/>
      <c r="B679" s="89"/>
      <c r="C679" s="89">
        <v>70</v>
      </c>
      <c r="D679" s="89">
        <v>2401087</v>
      </c>
      <c r="E679" s="89" t="s">
        <v>20</v>
      </c>
      <c r="F679" s="89">
        <v>9.9400000000000002E-2</v>
      </c>
      <c r="G679" s="89">
        <v>0.90059999999999996</v>
      </c>
      <c r="H679" s="89" t="s">
        <v>31</v>
      </c>
      <c r="I679" s="89" t="b">
        <v>0</v>
      </c>
      <c r="J679" s="89"/>
      <c r="K679" s="89"/>
    </row>
    <row r="680" spans="1:11" x14ac:dyDescent="0.3">
      <c r="A680" s="89"/>
      <c r="B680" s="89"/>
      <c r="C680" s="89">
        <v>279</v>
      </c>
      <c r="D680" s="89">
        <v>2303357</v>
      </c>
      <c r="E680" s="89" t="s">
        <v>20</v>
      </c>
      <c r="F680" s="89">
        <v>9.9299999999999999E-2</v>
      </c>
      <c r="G680" s="89">
        <v>0.90069999999999995</v>
      </c>
      <c r="H680" s="89" t="s">
        <v>31</v>
      </c>
      <c r="I680" s="89" t="b">
        <v>0</v>
      </c>
      <c r="J680" s="89"/>
      <c r="K680" s="89"/>
    </row>
    <row r="681" spans="1:11" x14ac:dyDescent="0.3">
      <c r="A681" s="89"/>
      <c r="B681" s="89"/>
      <c r="C681" s="89">
        <v>172</v>
      </c>
      <c r="D681" s="89">
        <v>1706206</v>
      </c>
      <c r="E681" s="89" t="s">
        <v>20</v>
      </c>
      <c r="F681" s="89">
        <v>9.9199999999999997E-2</v>
      </c>
      <c r="G681" s="89">
        <v>0.90080000000000005</v>
      </c>
      <c r="H681" s="89" t="s">
        <v>33</v>
      </c>
      <c r="I681" s="89" t="b">
        <v>0</v>
      </c>
      <c r="J681" s="89"/>
      <c r="K681" s="89"/>
    </row>
    <row r="682" spans="1:11" x14ac:dyDescent="0.3">
      <c r="A682" s="89"/>
      <c r="B682" s="89"/>
      <c r="C682" s="89">
        <v>142</v>
      </c>
      <c r="D682" s="89">
        <v>1706174</v>
      </c>
      <c r="E682" s="89" t="s">
        <v>20</v>
      </c>
      <c r="F682" s="89">
        <v>9.8900000000000002E-2</v>
      </c>
      <c r="G682" s="89">
        <v>0.90110000000000001</v>
      </c>
      <c r="H682" s="89" t="s">
        <v>38</v>
      </c>
      <c r="I682" s="89" t="b">
        <v>0</v>
      </c>
      <c r="J682" s="89"/>
      <c r="K682" s="89"/>
    </row>
    <row r="683" spans="1:11" x14ac:dyDescent="0.3">
      <c r="A683" s="89"/>
      <c r="B683" s="89"/>
      <c r="C683" s="89">
        <v>46</v>
      </c>
      <c r="D683" s="89">
        <v>1705050</v>
      </c>
      <c r="E683" s="89" t="s">
        <v>20</v>
      </c>
      <c r="F683" s="89">
        <v>9.8799999999999999E-2</v>
      </c>
      <c r="G683" s="89">
        <v>0.9012</v>
      </c>
      <c r="H683" s="89" t="s">
        <v>31</v>
      </c>
      <c r="I683" s="89" t="b">
        <v>0</v>
      </c>
      <c r="J683" s="89"/>
      <c r="K683" s="89"/>
    </row>
    <row r="684" spans="1:11" x14ac:dyDescent="0.3">
      <c r="A684" s="89"/>
      <c r="B684" s="89"/>
      <c r="C684" s="89">
        <v>276</v>
      </c>
      <c r="D684" s="89">
        <v>1705354</v>
      </c>
      <c r="E684" s="89" t="s">
        <v>20</v>
      </c>
      <c r="F684" s="89">
        <v>9.8799999999999999E-2</v>
      </c>
      <c r="G684" s="89">
        <v>0.9012</v>
      </c>
      <c r="H684" s="89" t="s">
        <v>31</v>
      </c>
      <c r="I684" s="89" t="b">
        <v>0</v>
      </c>
      <c r="J684" s="89"/>
      <c r="K684" s="89"/>
    </row>
    <row r="685" spans="1:11" x14ac:dyDescent="0.3">
      <c r="A685" s="89"/>
      <c r="B685" s="89"/>
      <c r="C685" s="89">
        <v>61</v>
      </c>
      <c r="D685" s="89">
        <v>1706075</v>
      </c>
      <c r="E685" s="89" t="s">
        <v>20</v>
      </c>
      <c r="F685" s="89">
        <v>9.8799999999999999E-2</v>
      </c>
      <c r="G685" s="89">
        <v>0.9012</v>
      </c>
      <c r="H685" s="89" t="s">
        <v>31</v>
      </c>
      <c r="I685" s="89" t="b">
        <v>0</v>
      </c>
      <c r="J685" s="89"/>
      <c r="K685" s="89"/>
    </row>
    <row r="686" spans="1:11" x14ac:dyDescent="0.3">
      <c r="A686" s="89"/>
      <c r="B686" s="89"/>
      <c r="C686" s="89">
        <v>268</v>
      </c>
      <c r="D686" s="89">
        <v>1706343</v>
      </c>
      <c r="E686" s="89" t="s">
        <v>20</v>
      </c>
      <c r="F686" s="89">
        <v>9.8799999999999999E-2</v>
      </c>
      <c r="G686" s="89">
        <v>0.9012</v>
      </c>
      <c r="H686" s="89" t="s">
        <v>47</v>
      </c>
      <c r="I686" s="89" t="b">
        <v>0</v>
      </c>
      <c r="J686" s="89"/>
      <c r="K686" s="89"/>
    </row>
    <row r="687" spans="1:11" x14ac:dyDescent="0.3">
      <c r="A687" s="89"/>
      <c r="B687" s="89"/>
      <c r="C687" s="89">
        <v>225</v>
      </c>
      <c r="D687" s="89">
        <v>2303296</v>
      </c>
      <c r="E687" s="89" t="s">
        <v>20</v>
      </c>
      <c r="F687" s="89">
        <v>9.8799999999999999E-2</v>
      </c>
      <c r="G687" s="89">
        <v>0.9012</v>
      </c>
      <c r="H687" s="89" t="s">
        <v>31</v>
      </c>
      <c r="I687" s="89" t="b">
        <v>0</v>
      </c>
      <c r="J687" s="89"/>
      <c r="K687" s="89"/>
    </row>
    <row r="688" spans="1:11" x14ac:dyDescent="0.3">
      <c r="A688" s="89"/>
      <c r="B688" s="89"/>
      <c r="C688" s="89">
        <v>84</v>
      </c>
      <c r="D688" s="89">
        <v>1705099</v>
      </c>
      <c r="E688" s="89" t="s">
        <v>20</v>
      </c>
      <c r="F688" s="89">
        <v>9.8599999999999993E-2</v>
      </c>
      <c r="G688" s="89">
        <v>0.90139999999999998</v>
      </c>
      <c r="H688" s="89" t="s">
        <v>31</v>
      </c>
      <c r="I688" s="89" t="b">
        <v>0</v>
      </c>
      <c r="J688" s="89"/>
      <c r="K688" s="89"/>
    </row>
    <row r="689" spans="1:11" x14ac:dyDescent="0.3">
      <c r="A689" s="89"/>
      <c r="B689" s="89"/>
      <c r="C689" s="89">
        <v>95</v>
      </c>
      <c r="D689" s="89">
        <v>2404134</v>
      </c>
      <c r="E689" s="89" t="s">
        <v>20</v>
      </c>
      <c r="F689" s="89">
        <v>9.7799999999999998E-2</v>
      </c>
      <c r="G689" s="89">
        <v>0.9022</v>
      </c>
      <c r="H689" s="89" t="s">
        <v>38</v>
      </c>
      <c r="I689" s="89" t="b">
        <v>0</v>
      </c>
      <c r="J689" s="89"/>
      <c r="K689" s="89"/>
    </row>
    <row r="690" spans="1:11" x14ac:dyDescent="0.3">
      <c r="A690" s="89"/>
      <c r="B690" s="89"/>
      <c r="C690" s="89">
        <v>38</v>
      </c>
      <c r="D690" s="89">
        <v>2401051</v>
      </c>
      <c r="E690" s="89" t="s">
        <v>20</v>
      </c>
      <c r="F690" s="89">
        <v>9.7600000000000006E-2</v>
      </c>
      <c r="G690" s="89">
        <v>0.90239999999999998</v>
      </c>
      <c r="H690" s="89" t="s">
        <v>33</v>
      </c>
      <c r="I690" s="89" t="b">
        <v>0</v>
      </c>
      <c r="J690" s="89"/>
      <c r="K690" s="89"/>
    </row>
    <row r="691" spans="1:11" x14ac:dyDescent="0.3">
      <c r="A691" s="89"/>
      <c r="B691" s="89"/>
      <c r="C691" s="89">
        <v>273</v>
      </c>
      <c r="D691" s="89">
        <v>1705349</v>
      </c>
      <c r="E691" s="89" t="s">
        <v>20</v>
      </c>
      <c r="F691" s="89">
        <v>9.7100000000000006E-2</v>
      </c>
      <c r="G691" s="89">
        <v>0.90290000000000004</v>
      </c>
      <c r="H691" s="89" t="s">
        <v>31</v>
      </c>
      <c r="I691" s="89" t="b">
        <v>0</v>
      </c>
      <c r="J691" s="89"/>
      <c r="K691" s="89"/>
    </row>
    <row r="692" spans="1:11" x14ac:dyDescent="0.3">
      <c r="A692" s="89"/>
      <c r="B692" s="89"/>
      <c r="C692" s="89">
        <v>194</v>
      </c>
      <c r="D692" s="89">
        <v>2303254</v>
      </c>
      <c r="E692" s="89" t="s">
        <v>20</v>
      </c>
      <c r="F692" s="89">
        <v>9.6799999999999997E-2</v>
      </c>
      <c r="G692" s="89">
        <v>0.9032</v>
      </c>
      <c r="H692" s="89" t="s">
        <v>38</v>
      </c>
      <c r="I692" s="89" t="b">
        <v>0</v>
      </c>
      <c r="J692" s="89"/>
      <c r="K692" s="89"/>
    </row>
    <row r="693" spans="1:11" x14ac:dyDescent="0.3">
      <c r="A693" s="89"/>
      <c r="B693" s="89"/>
      <c r="C693" s="89">
        <v>291</v>
      </c>
      <c r="D693" s="89">
        <v>2303370</v>
      </c>
      <c r="E693" s="89" t="s">
        <v>20</v>
      </c>
      <c r="F693" s="89">
        <v>9.6799999999999997E-2</v>
      </c>
      <c r="G693" s="89">
        <v>0.9032</v>
      </c>
      <c r="H693" s="89" t="s">
        <v>38</v>
      </c>
      <c r="I693" s="89" t="b">
        <v>0</v>
      </c>
      <c r="J693" s="89"/>
      <c r="K693" s="89"/>
    </row>
    <row r="694" spans="1:11" x14ac:dyDescent="0.3">
      <c r="A694" s="89"/>
      <c r="B694" s="89"/>
      <c r="C694" s="89">
        <v>54</v>
      </c>
      <c r="D694" s="89">
        <v>1706067</v>
      </c>
      <c r="E694" s="89" t="s">
        <v>20</v>
      </c>
      <c r="F694" s="89">
        <v>9.6500000000000002E-2</v>
      </c>
      <c r="G694" s="89">
        <v>0.90349999999999997</v>
      </c>
      <c r="H694" s="89" t="s">
        <v>31</v>
      </c>
      <c r="I694" s="89" t="b">
        <v>0</v>
      </c>
      <c r="J694" s="89"/>
      <c r="K694" s="89"/>
    </row>
    <row r="695" spans="1:11" x14ac:dyDescent="0.3">
      <c r="A695" s="89"/>
      <c r="B695" s="89"/>
      <c r="C695" s="89">
        <v>70</v>
      </c>
      <c r="D695" s="89">
        <v>2303088</v>
      </c>
      <c r="E695" s="89" t="s">
        <v>20</v>
      </c>
      <c r="F695" s="89">
        <v>9.64E-2</v>
      </c>
      <c r="G695" s="89">
        <v>0.90359999999999996</v>
      </c>
      <c r="H695" s="89" t="s">
        <v>46</v>
      </c>
      <c r="I695" s="89" t="b">
        <v>0</v>
      </c>
      <c r="J695" s="89"/>
      <c r="K695" s="89"/>
    </row>
    <row r="696" spans="1:11" x14ac:dyDescent="0.3">
      <c r="A696" s="89"/>
      <c r="B696" s="89"/>
      <c r="C696" s="89">
        <v>85</v>
      </c>
      <c r="D696" s="89">
        <v>2303111</v>
      </c>
      <c r="E696" s="89" t="s">
        <v>20</v>
      </c>
      <c r="F696" s="89">
        <v>9.6199999999999994E-2</v>
      </c>
      <c r="G696" s="89">
        <v>0.90380000000000005</v>
      </c>
      <c r="H696" s="89" t="s">
        <v>38</v>
      </c>
      <c r="I696" s="89" t="b">
        <v>0</v>
      </c>
      <c r="J696" s="89"/>
      <c r="K696" s="89"/>
    </row>
    <row r="697" spans="1:11" x14ac:dyDescent="0.3">
      <c r="A697" s="89"/>
      <c r="B697" s="89"/>
      <c r="C697" s="89">
        <v>108</v>
      </c>
      <c r="D697" s="89">
        <v>2404147</v>
      </c>
      <c r="E697" s="89" t="s">
        <v>20</v>
      </c>
      <c r="F697" s="89">
        <v>9.6100000000000005E-2</v>
      </c>
      <c r="G697" s="89">
        <v>0.90390000000000004</v>
      </c>
      <c r="H697" s="89" t="s">
        <v>31</v>
      </c>
      <c r="I697" s="89" t="b">
        <v>0</v>
      </c>
      <c r="J697" s="89"/>
      <c r="K697" s="89"/>
    </row>
    <row r="698" spans="1:11" x14ac:dyDescent="0.3">
      <c r="A698" s="89"/>
      <c r="B698" s="89"/>
      <c r="C698" s="89">
        <v>103</v>
      </c>
      <c r="D698" s="89">
        <v>1705121</v>
      </c>
      <c r="E698" s="89" t="s">
        <v>20</v>
      </c>
      <c r="F698" s="89">
        <v>9.5500000000000002E-2</v>
      </c>
      <c r="G698" s="89">
        <v>0.90449999999999997</v>
      </c>
      <c r="H698" s="89" t="s">
        <v>31</v>
      </c>
      <c r="I698" s="89" t="b">
        <v>0</v>
      </c>
      <c r="J698" s="89"/>
      <c r="K698" s="89"/>
    </row>
    <row r="699" spans="1:11" x14ac:dyDescent="0.3">
      <c r="A699" s="89"/>
      <c r="B699" s="89"/>
      <c r="C699" s="89">
        <v>70</v>
      </c>
      <c r="D699" s="89">
        <v>1705082</v>
      </c>
      <c r="E699" s="89" t="s">
        <v>20</v>
      </c>
      <c r="F699" s="89">
        <v>9.5299999999999996E-2</v>
      </c>
      <c r="G699" s="89">
        <v>0.90469999999999995</v>
      </c>
      <c r="H699" s="89" t="s">
        <v>52</v>
      </c>
      <c r="I699" s="89" t="b">
        <v>0</v>
      </c>
      <c r="J699" s="89"/>
      <c r="K699" s="89"/>
    </row>
    <row r="700" spans="1:11" x14ac:dyDescent="0.3">
      <c r="A700" s="89"/>
      <c r="B700" s="89"/>
      <c r="C700" s="89">
        <v>131</v>
      </c>
      <c r="D700" s="89">
        <v>1706159</v>
      </c>
      <c r="E700" s="89" t="s">
        <v>20</v>
      </c>
      <c r="F700" s="89">
        <v>9.4700000000000006E-2</v>
      </c>
      <c r="G700" s="89">
        <v>0.90529999999999999</v>
      </c>
      <c r="H700" s="89" t="s">
        <v>46</v>
      </c>
      <c r="I700" s="89" t="b">
        <v>0</v>
      </c>
      <c r="J700" s="89"/>
      <c r="K700" s="89"/>
    </row>
    <row r="701" spans="1:11" x14ac:dyDescent="0.3">
      <c r="A701" s="89"/>
      <c r="B701" s="89"/>
      <c r="C701" s="89">
        <v>165</v>
      </c>
      <c r="D701" s="89">
        <v>2303222</v>
      </c>
      <c r="E701" s="89" t="s">
        <v>20</v>
      </c>
      <c r="F701" s="89">
        <v>9.4399999999999998E-2</v>
      </c>
      <c r="G701" s="89">
        <v>0.90559999999999996</v>
      </c>
      <c r="H701" s="89" t="s">
        <v>45</v>
      </c>
      <c r="I701" s="89" t="b">
        <v>0</v>
      </c>
      <c r="J701" s="89"/>
      <c r="K701" s="89"/>
    </row>
    <row r="702" spans="1:11" x14ac:dyDescent="0.3">
      <c r="A702" s="89"/>
      <c r="B702" s="89"/>
      <c r="C702" s="89">
        <v>88</v>
      </c>
      <c r="D702" s="89">
        <v>2404125</v>
      </c>
      <c r="E702" s="89" t="s">
        <v>20</v>
      </c>
      <c r="F702" s="89">
        <v>9.4299999999999995E-2</v>
      </c>
      <c r="G702" s="89">
        <v>0.90569999999999995</v>
      </c>
      <c r="H702" s="89" t="s">
        <v>28</v>
      </c>
      <c r="I702" s="89" t="b">
        <v>0</v>
      </c>
      <c r="J702" s="89"/>
      <c r="K702" s="89"/>
    </row>
    <row r="703" spans="1:11" x14ac:dyDescent="0.3">
      <c r="A703" s="89"/>
      <c r="B703" s="89"/>
      <c r="C703" s="89">
        <v>98</v>
      </c>
      <c r="D703" s="89">
        <v>2303128</v>
      </c>
      <c r="E703" s="89" t="s">
        <v>20</v>
      </c>
      <c r="F703" s="89">
        <v>9.3600000000000003E-2</v>
      </c>
      <c r="G703" s="89">
        <v>0.90639999999999998</v>
      </c>
      <c r="H703" s="89" t="s">
        <v>35</v>
      </c>
      <c r="I703" s="89" t="b">
        <v>0</v>
      </c>
      <c r="J703" s="89"/>
      <c r="K703" s="89"/>
    </row>
    <row r="704" spans="1:11" x14ac:dyDescent="0.3">
      <c r="A704" s="89"/>
      <c r="B704" s="89"/>
      <c r="C704" s="89">
        <v>172</v>
      </c>
      <c r="D704" s="89">
        <v>2303229</v>
      </c>
      <c r="E704" s="89" t="s">
        <v>20</v>
      </c>
      <c r="F704" s="89">
        <v>9.3399999999999997E-2</v>
      </c>
      <c r="G704" s="89">
        <v>0.90659999999999996</v>
      </c>
      <c r="H704" s="89" t="s">
        <v>31</v>
      </c>
      <c r="I704" s="89" t="b">
        <v>0</v>
      </c>
      <c r="J704" s="89"/>
      <c r="K704" s="89"/>
    </row>
    <row r="705" spans="1:11" x14ac:dyDescent="0.3">
      <c r="A705" s="89"/>
      <c r="B705" s="89"/>
      <c r="C705" s="89">
        <v>140</v>
      </c>
      <c r="D705" s="89">
        <v>1706172</v>
      </c>
      <c r="E705" s="89" t="s">
        <v>20</v>
      </c>
      <c r="F705" s="89">
        <v>9.3299999999999994E-2</v>
      </c>
      <c r="G705" s="89">
        <v>0.90669999999999995</v>
      </c>
      <c r="H705" s="89" t="s">
        <v>38</v>
      </c>
      <c r="I705" s="89" t="b">
        <v>0</v>
      </c>
      <c r="J705" s="89"/>
      <c r="K705" s="89"/>
    </row>
    <row r="706" spans="1:11" x14ac:dyDescent="0.3">
      <c r="A706" s="89"/>
      <c r="B706" s="89"/>
      <c r="C706" s="89">
        <v>120</v>
      </c>
      <c r="D706" s="89">
        <v>2404162</v>
      </c>
      <c r="E706" s="89" t="s">
        <v>20</v>
      </c>
      <c r="F706" s="89">
        <v>9.3100000000000002E-2</v>
      </c>
      <c r="G706" s="89">
        <v>0.90690000000000004</v>
      </c>
      <c r="H706" s="89" t="s">
        <v>38</v>
      </c>
      <c r="I706" s="89" t="b">
        <v>0</v>
      </c>
      <c r="J706" s="89"/>
      <c r="K706" s="89"/>
    </row>
    <row r="707" spans="1:11" x14ac:dyDescent="0.3">
      <c r="A707" s="89"/>
      <c r="B707" s="89"/>
      <c r="C707" s="89">
        <v>35</v>
      </c>
      <c r="D707" s="89">
        <v>2404052</v>
      </c>
      <c r="E707" s="89" t="s">
        <v>20</v>
      </c>
      <c r="F707" s="89">
        <v>9.2700000000000005E-2</v>
      </c>
      <c r="G707" s="89">
        <v>0.9073</v>
      </c>
      <c r="H707" s="89" t="s">
        <v>38</v>
      </c>
      <c r="I707" s="89" t="b">
        <v>0</v>
      </c>
      <c r="J707" s="89"/>
      <c r="K707" s="89"/>
    </row>
    <row r="708" spans="1:11" x14ac:dyDescent="0.3">
      <c r="A708" s="89"/>
      <c r="B708" s="89"/>
      <c r="C708" s="89">
        <v>191</v>
      </c>
      <c r="D708" s="89">
        <v>2303250</v>
      </c>
      <c r="E708" s="89" t="s">
        <v>20</v>
      </c>
      <c r="F708" s="89">
        <v>9.2600000000000002E-2</v>
      </c>
      <c r="G708" s="89">
        <v>0.90739999999999998</v>
      </c>
      <c r="H708" s="89" t="s">
        <v>45</v>
      </c>
      <c r="I708" s="89" t="b">
        <v>0</v>
      </c>
      <c r="J708" s="89"/>
      <c r="K708" s="89"/>
    </row>
    <row r="709" spans="1:11" x14ac:dyDescent="0.3">
      <c r="A709" s="89"/>
      <c r="B709" s="89"/>
      <c r="C709" s="89">
        <v>2</v>
      </c>
      <c r="D709" s="89">
        <v>2401006</v>
      </c>
      <c r="E709" s="89" t="s">
        <v>20</v>
      </c>
      <c r="F709" s="89">
        <v>9.2299999999999993E-2</v>
      </c>
      <c r="G709" s="89">
        <v>0.90769999999999995</v>
      </c>
      <c r="H709" s="89" t="s">
        <v>31</v>
      </c>
      <c r="I709" s="89" t="b">
        <v>0</v>
      </c>
      <c r="J709" s="89"/>
      <c r="K709" s="89"/>
    </row>
    <row r="710" spans="1:11" x14ac:dyDescent="0.3">
      <c r="A710" s="89"/>
      <c r="B710" s="89"/>
      <c r="C710" s="89">
        <v>84</v>
      </c>
      <c r="D710" s="89">
        <v>1706104</v>
      </c>
      <c r="E710" s="89" t="s">
        <v>20</v>
      </c>
      <c r="F710" s="89">
        <v>9.2100000000000001E-2</v>
      </c>
      <c r="G710" s="89">
        <v>0.90790000000000004</v>
      </c>
      <c r="H710" s="89" t="s">
        <v>31</v>
      </c>
      <c r="I710" s="89" t="b">
        <v>0</v>
      </c>
      <c r="J710" s="89"/>
      <c r="K710" s="89"/>
    </row>
    <row r="711" spans="1:11" x14ac:dyDescent="0.3">
      <c r="A711" s="89"/>
      <c r="B711" s="89"/>
      <c r="C711" s="89">
        <v>158</v>
      </c>
      <c r="D711" s="89">
        <v>2303213</v>
      </c>
      <c r="E711" s="89" t="s">
        <v>20</v>
      </c>
      <c r="F711" s="89">
        <v>9.2100000000000001E-2</v>
      </c>
      <c r="G711" s="89">
        <v>0.90790000000000004</v>
      </c>
      <c r="H711" s="89" t="s">
        <v>31</v>
      </c>
      <c r="I711" s="89" t="b">
        <v>0</v>
      </c>
      <c r="J711" s="89"/>
      <c r="K711" s="89"/>
    </row>
    <row r="712" spans="1:11" x14ac:dyDescent="0.3">
      <c r="A712" s="89"/>
      <c r="B712" s="89"/>
      <c r="C712" s="89">
        <v>40</v>
      </c>
      <c r="D712" s="89">
        <v>2404059</v>
      </c>
      <c r="E712" s="89" t="s">
        <v>20</v>
      </c>
      <c r="F712" s="89">
        <v>9.1499999999999998E-2</v>
      </c>
      <c r="G712" s="89">
        <v>0.90849999999999997</v>
      </c>
      <c r="H712" s="89" t="s">
        <v>31</v>
      </c>
      <c r="I712" s="89" t="b">
        <v>0</v>
      </c>
      <c r="J712" s="89"/>
      <c r="K712" s="89"/>
    </row>
    <row r="713" spans="1:11" x14ac:dyDescent="0.3">
      <c r="A713" s="89"/>
      <c r="B713" s="89"/>
      <c r="C713" s="89">
        <v>271</v>
      </c>
      <c r="D713" s="89">
        <v>1705343</v>
      </c>
      <c r="E713" s="89" t="s">
        <v>20</v>
      </c>
      <c r="F713" s="89">
        <v>9.0999999999999998E-2</v>
      </c>
      <c r="G713" s="89">
        <v>0.90900000000000003</v>
      </c>
      <c r="H713" s="89" t="s">
        <v>31</v>
      </c>
      <c r="I713" s="89" t="b">
        <v>0</v>
      </c>
      <c r="J713" s="89"/>
      <c r="K713" s="89"/>
    </row>
    <row r="714" spans="1:11" x14ac:dyDescent="0.3">
      <c r="A714" s="89"/>
      <c r="B714" s="89"/>
      <c r="C714" s="89">
        <v>36</v>
      </c>
      <c r="D714" s="89">
        <v>2401049</v>
      </c>
      <c r="E714" s="89" t="s">
        <v>20</v>
      </c>
      <c r="F714" s="89">
        <v>9.0999999999999998E-2</v>
      </c>
      <c r="G714" s="89">
        <v>0.90900000000000003</v>
      </c>
      <c r="H714" s="89" t="s">
        <v>31</v>
      </c>
      <c r="I714" s="89" t="b">
        <v>0</v>
      </c>
      <c r="J714" s="89"/>
      <c r="K714" s="89"/>
    </row>
    <row r="715" spans="1:11" x14ac:dyDescent="0.3">
      <c r="A715" s="89"/>
      <c r="B715" s="89"/>
      <c r="C715" s="89">
        <v>200</v>
      </c>
      <c r="D715" s="89">
        <v>1705237</v>
      </c>
      <c r="E715" s="89" t="s">
        <v>20</v>
      </c>
      <c r="F715" s="89">
        <v>9.0899999999999995E-2</v>
      </c>
      <c r="G715" s="89">
        <v>0.90910000000000002</v>
      </c>
      <c r="H715" s="89" t="s">
        <v>45</v>
      </c>
      <c r="I715" s="89" t="b">
        <v>0</v>
      </c>
      <c r="J715" s="89"/>
      <c r="K715" s="89"/>
    </row>
    <row r="716" spans="1:11" x14ac:dyDescent="0.3">
      <c r="A716" s="89"/>
      <c r="B716" s="89"/>
      <c r="C716" s="89">
        <v>83</v>
      </c>
      <c r="D716" s="89">
        <v>2303109</v>
      </c>
      <c r="E716" s="89" t="s">
        <v>20</v>
      </c>
      <c r="F716" s="89">
        <v>9.0700000000000003E-2</v>
      </c>
      <c r="G716" s="89">
        <v>0.9093</v>
      </c>
      <c r="H716" s="89" t="s">
        <v>38</v>
      </c>
      <c r="I716" s="89" t="b">
        <v>0</v>
      </c>
      <c r="J716" s="89"/>
      <c r="K716" s="89"/>
    </row>
    <row r="717" spans="1:11" x14ac:dyDescent="0.3">
      <c r="A717" s="89"/>
      <c r="B717" s="89"/>
      <c r="C717" s="89">
        <v>3</v>
      </c>
      <c r="D717" s="89">
        <v>2401008</v>
      </c>
      <c r="E717" s="89" t="s">
        <v>20</v>
      </c>
      <c r="F717" s="89">
        <v>9.01E-2</v>
      </c>
      <c r="G717" s="89">
        <v>0.90990000000000004</v>
      </c>
      <c r="H717" s="89" t="s">
        <v>31</v>
      </c>
      <c r="I717" s="89" t="b">
        <v>0</v>
      </c>
      <c r="J717" s="89"/>
      <c r="K717" s="89"/>
    </row>
    <row r="718" spans="1:11" x14ac:dyDescent="0.3">
      <c r="A718" s="89"/>
      <c r="B718" s="89"/>
      <c r="C718" s="89">
        <v>126</v>
      </c>
      <c r="D718" s="89">
        <v>2303167</v>
      </c>
      <c r="E718" s="89" t="s">
        <v>20</v>
      </c>
      <c r="F718" s="89">
        <v>0.09</v>
      </c>
      <c r="G718" s="89">
        <v>0.91</v>
      </c>
      <c r="H718" s="89" t="s">
        <v>28</v>
      </c>
      <c r="I718" s="89" t="b">
        <v>0</v>
      </c>
      <c r="J718" s="89"/>
      <c r="K718" s="89"/>
    </row>
    <row r="719" spans="1:11" x14ac:dyDescent="0.3">
      <c r="A719" s="89"/>
      <c r="B719" s="89"/>
      <c r="C719" s="89">
        <v>77</v>
      </c>
      <c r="D719" s="89">
        <v>2303097</v>
      </c>
      <c r="E719" s="89" t="s">
        <v>20</v>
      </c>
      <c r="F719" s="89">
        <v>8.9599999999999999E-2</v>
      </c>
      <c r="G719" s="89">
        <v>0.91039999999999999</v>
      </c>
      <c r="H719" s="89" t="s">
        <v>35</v>
      </c>
      <c r="I719" s="89" t="b">
        <v>0</v>
      </c>
      <c r="J719" s="89"/>
      <c r="K719" s="89"/>
    </row>
    <row r="720" spans="1:11" x14ac:dyDescent="0.3">
      <c r="A720" s="89"/>
      <c r="B720" s="89"/>
      <c r="C720" s="89">
        <v>256</v>
      </c>
      <c r="D720" s="89">
        <v>2303333</v>
      </c>
      <c r="E720" s="89" t="s">
        <v>20</v>
      </c>
      <c r="F720" s="89">
        <v>8.9599999999999999E-2</v>
      </c>
      <c r="G720" s="89">
        <v>0.91039999999999999</v>
      </c>
      <c r="H720" s="89" t="s">
        <v>46</v>
      </c>
      <c r="I720" s="89" t="b">
        <v>0</v>
      </c>
      <c r="J720" s="89"/>
      <c r="K720" s="89"/>
    </row>
    <row r="721" spans="1:11" x14ac:dyDescent="0.3">
      <c r="A721" s="89"/>
      <c r="B721" s="89"/>
      <c r="C721" s="89">
        <v>29</v>
      </c>
      <c r="D721" s="89">
        <v>1705033</v>
      </c>
      <c r="E721" s="89" t="s">
        <v>20</v>
      </c>
      <c r="F721" s="89">
        <v>8.8400000000000006E-2</v>
      </c>
      <c r="G721" s="89">
        <v>0.91159999999999997</v>
      </c>
      <c r="H721" s="89" t="s">
        <v>31</v>
      </c>
      <c r="I721" s="89" t="b">
        <v>0</v>
      </c>
      <c r="J721" s="89"/>
      <c r="K721" s="89"/>
    </row>
    <row r="722" spans="1:11" x14ac:dyDescent="0.3">
      <c r="A722" s="89"/>
      <c r="B722" s="89"/>
      <c r="C722" s="89">
        <v>137</v>
      </c>
      <c r="D722" s="89">
        <v>1706167</v>
      </c>
      <c r="E722" s="89" t="s">
        <v>20</v>
      </c>
      <c r="F722" s="89">
        <v>8.8300000000000003E-2</v>
      </c>
      <c r="G722" s="89">
        <v>0.91169999999999995</v>
      </c>
      <c r="H722" s="89" t="s">
        <v>38</v>
      </c>
      <c r="I722" s="89" t="b">
        <v>0</v>
      </c>
      <c r="J722" s="89"/>
      <c r="K722" s="89"/>
    </row>
    <row r="723" spans="1:11" x14ac:dyDescent="0.3">
      <c r="A723" s="89"/>
      <c r="B723" s="89"/>
      <c r="C723" s="89">
        <v>80</v>
      </c>
      <c r="D723" s="89">
        <v>2404113</v>
      </c>
      <c r="E723" s="89" t="s">
        <v>20</v>
      </c>
      <c r="F723" s="89">
        <v>8.8300000000000003E-2</v>
      </c>
      <c r="G723" s="89">
        <v>0.91169999999999995</v>
      </c>
      <c r="H723" s="89" t="s">
        <v>31</v>
      </c>
      <c r="I723" s="89" t="b">
        <v>0</v>
      </c>
      <c r="J723" s="89"/>
      <c r="K723" s="89"/>
    </row>
    <row r="724" spans="1:11" x14ac:dyDescent="0.3">
      <c r="A724" s="89"/>
      <c r="B724" s="89"/>
      <c r="C724" s="89">
        <v>210</v>
      </c>
      <c r="D724" s="89">
        <v>1705250</v>
      </c>
      <c r="E724" s="89" t="s">
        <v>20</v>
      </c>
      <c r="F724" s="89">
        <v>8.7800000000000003E-2</v>
      </c>
      <c r="G724" s="89">
        <v>0.91220000000000001</v>
      </c>
      <c r="H724" s="89" t="s">
        <v>31</v>
      </c>
      <c r="I724" s="89" t="b">
        <v>0</v>
      </c>
      <c r="J724" s="89"/>
      <c r="K724" s="89"/>
    </row>
    <row r="725" spans="1:11" x14ac:dyDescent="0.3">
      <c r="A725" s="89"/>
      <c r="B725" s="89"/>
      <c r="C725" s="89">
        <v>9</v>
      </c>
      <c r="D725" s="89">
        <v>2401014</v>
      </c>
      <c r="E725" s="89" t="s">
        <v>20</v>
      </c>
      <c r="F725" s="89">
        <v>8.7599999999999997E-2</v>
      </c>
      <c r="G725" s="89">
        <v>0.91239999999999999</v>
      </c>
      <c r="H725" s="89" t="s">
        <v>31</v>
      </c>
      <c r="I725" s="89" t="b">
        <v>0</v>
      </c>
      <c r="J725" s="89"/>
      <c r="K725" s="89"/>
    </row>
    <row r="726" spans="1:11" x14ac:dyDescent="0.3">
      <c r="A726" s="89"/>
      <c r="B726" s="89"/>
      <c r="C726" s="89">
        <v>3</v>
      </c>
      <c r="D726" s="89">
        <v>1706005</v>
      </c>
      <c r="E726" s="89" t="s">
        <v>20</v>
      </c>
      <c r="F726" s="89">
        <v>8.7499999999999994E-2</v>
      </c>
      <c r="G726" s="89">
        <v>0.91249999999999998</v>
      </c>
      <c r="H726" s="89" t="s">
        <v>31</v>
      </c>
      <c r="I726" s="89" t="b">
        <v>0</v>
      </c>
      <c r="J726" s="89"/>
      <c r="K726" s="89"/>
    </row>
    <row r="727" spans="1:11" x14ac:dyDescent="0.3">
      <c r="A727" s="89"/>
      <c r="B727" s="89"/>
      <c r="C727" s="89">
        <v>249</v>
      </c>
      <c r="D727" s="89">
        <v>2303326</v>
      </c>
      <c r="E727" s="89" t="s">
        <v>20</v>
      </c>
      <c r="F727" s="89">
        <v>8.7300000000000003E-2</v>
      </c>
      <c r="G727" s="89">
        <v>0.91269999999999996</v>
      </c>
      <c r="H727" s="89" t="s">
        <v>31</v>
      </c>
      <c r="I727" s="89" t="b">
        <v>0</v>
      </c>
      <c r="J727" s="89"/>
      <c r="K727" s="89"/>
    </row>
    <row r="728" spans="1:11" x14ac:dyDescent="0.3">
      <c r="A728" s="89"/>
      <c r="B728" s="89"/>
      <c r="C728" s="89">
        <v>77</v>
      </c>
      <c r="D728" s="89">
        <v>2404108</v>
      </c>
      <c r="E728" s="89" t="s">
        <v>20</v>
      </c>
      <c r="F728" s="89">
        <v>8.7300000000000003E-2</v>
      </c>
      <c r="G728" s="89">
        <v>0.91269999999999996</v>
      </c>
      <c r="H728" s="89" t="s">
        <v>38</v>
      </c>
      <c r="I728" s="89" t="b">
        <v>0</v>
      </c>
      <c r="J728" s="89"/>
      <c r="K728" s="89"/>
    </row>
    <row r="729" spans="1:11" x14ac:dyDescent="0.3">
      <c r="A729" s="89"/>
      <c r="B729" s="89"/>
      <c r="C729" s="89">
        <v>1</v>
      </c>
      <c r="D729" s="89">
        <v>1705001</v>
      </c>
      <c r="E729" s="89" t="s">
        <v>20</v>
      </c>
      <c r="F729" s="89">
        <v>8.72E-2</v>
      </c>
      <c r="G729" s="89">
        <v>0.91279999999999994</v>
      </c>
      <c r="H729" s="89" t="s">
        <v>31</v>
      </c>
      <c r="I729" s="89" t="b">
        <v>0</v>
      </c>
      <c r="J729" s="89"/>
      <c r="K729" s="89"/>
    </row>
    <row r="730" spans="1:11" x14ac:dyDescent="0.3">
      <c r="A730" s="89"/>
      <c r="B730" s="89"/>
      <c r="C730" s="89">
        <v>83</v>
      </c>
      <c r="D730" s="89">
        <v>2401107</v>
      </c>
      <c r="E730" s="89" t="s">
        <v>20</v>
      </c>
      <c r="F730" s="89">
        <v>8.72E-2</v>
      </c>
      <c r="G730" s="89">
        <v>0.91279999999999994</v>
      </c>
      <c r="H730" s="89" t="s">
        <v>31</v>
      </c>
      <c r="I730" s="89" t="b">
        <v>0</v>
      </c>
      <c r="J730" s="89"/>
      <c r="K730" s="89"/>
    </row>
    <row r="731" spans="1:11" x14ac:dyDescent="0.3">
      <c r="A731" s="89"/>
      <c r="B731" s="89"/>
      <c r="C731" s="89">
        <v>173</v>
      </c>
      <c r="D731" s="89">
        <v>1705208</v>
      </c>
      <c r="E731" s="89" t="s">
        <v>20</v>
      </c>
      <c r="F731" s="89">
        <v>8.6999999999999994E-2</v>
      </c>
      <c r="G731" s="89">
        <v>0.91300000000000003</v>
      </c>
      <c r="H731" s="89" t="s">
        <v>31</v>
      </c>
      <c r="I731" s="89" t="b">
        <v>0</v>
      </c>
      <c r="J731" s="89"/>
      <c r="K731" s="89"/>
    </row>
    <row r="732" spans="1:11" x14ac:dyDescent="0.3">
      <c r="A732" s="89"/>
      <c r="B732" s="89"/>
      <c r="C732" s="89">
        <v>278</v>
      </c>
      <c r="D732" s="89">
        <v>1705363</v>
      </c>
      <c r="E732" s="89" t="s">
        <v>20</v>
      </c>
      <c r="F732" s="89">
        <v>8.6999999999999994E-2</v>
      </c>
      <c r="G732" s="89">
        <v>0.91300000000000003</v>
      </c>
      <c r="H732" s="89" t="s">
        <v>31</v>
      </c>
      <c r="I732" s="89" t="b">
        <v>0</v>
      </c>
      <c r="J732" s="89"/>
      <c r="K732" s="89"/>
    </row>
    <row r="733" spans="1:11" x14ac:dyDescent="0.3">
      <c r="A733" s="89"/>
      <c r="B733" s="89"/>
      <c r="C733" s="89">
        <v>186</v>
      </c>
      <c r="D733" s="89">
        <v>2303244</v>
      </c>
      <c r="E733" s="89" t="s">
        <v>20</v>
      </c>
      <c r="F733" s="89">
        <v>8.6900000000000005E-2</v>
      </c>
      <c r="G733" s="89">
        <v>0.91310000000000002</v>
      </c>
      <c r="H733" s="89" t="s">
        <v>31</v>
      </c>
      <c r="I733" s="89" t="b">
        <v>0</v>
      </c>
      <c r="J733" s="89"/>
      <c r="K733" s="89"/>
    </row>
    <row r="734" spans="1:11" x14ac:dyDescent="0.3">
      <c r="A734" s="89"/>
      <c r="B734" s="89"/>
      <c r="C734" s="89">
        <v>118</v>
      </c>
      <c r="D734" s="89">
        <v>1705138</v>
      </c>
      <c r="E734" s="89" t="s">
        <v>20</v>
      </c>
      <c r="F734" s="89">
        <v>8.6499999999999994E-2</v>
      </c>
      <c r="G734" s="89">
        <v>0.91349999999999998</v>
      </c>
      <c r="H734" s="89" t="s">
        <v>31</v>
      </c>
      <c r="I734" s="89" t="b">
        <v>0</v>
      </c>
      <c r="J734" s="89"/>
      <c r="K734" s="89"/>
    </row>
    <row r="735" spans="1:11" x14ac:dyDescent="0.3">
      <c r="A735" s="89"/>
      <c r="B735" s="89"/>
      <c r="C735" s="89">
        <v>218</v>
      </c>
      <c r="D735" s="89">
        <v>1706271</v>
      </c>
      <c r="E735" s="89" t="s">
        <v>20</v>
      </c>
      <c r="F735" s="89">
        <v>8.6300000000000002E-2</v>
      </c>
      <c r="G735" s="89">
        <v>0.91369999999999996</v>
      </c>
      <c r="H735" s="89" t="s">
        <v>38</v>
      </c>
      <c r="I735" s="89" t="b">
        <v>0</v>
      </c>
      <c r="J735" s="89"/>
      <c r="K735" s="89"/>
    </row>
    <row r="736" spans="1:11" x14ac:dyDescent="0.3">
      <c r="A736" s="89"/>
      <c r="B736" s="89"/>
      <c r="C736" s="89">
        <v>16</v>
      </c>
      <c r="D736" s="89">
        <v>1705017</v>
      </c>
      <c r="E736" s="89" t="s">
        <v>20</v>
      </c>
      <c r="F736" s="89">
        <v>8.5999999999999993E-2</v>
      </c>
      <c r="G736" s="89">
        <v>0.91400000000000003</v>
      </c>
      <c r="H736" s="89" t="s">
        <v>38</v>
      </c>
      <c r="I736" s="89" t="b">
        <v>0</v>
      </c>
      <c r="J736" s="89"/>
      <c r="K736" s="89"/>
    </row>
    <row r="737" spans="1:11" x14ac:dyDescent="0.3">
      <c r="A737" s="89"/>
      <c r="B737" s="89"/>
      <c r="C737" s="89">
        <v>69</v>
      </c>
      <c r="D737" s="89">
        <v>2401086</v>
      </c>
      <c r="E737" s="89" t="s">
        <v>20</v>
      </c>
      <c r="F737" s="89">
        <v>8.5800000000000001E-2</v>
      </c>
      <c r="G737" s="89">
        <v>0.91420000000000001</v>
      </c>
      <c r="H737" s="89" t="s">
        <v>31</v>
      </c>
      <c r="I737" s="89" t="b">
        <v>0</v>
      </c>
      <c r="J737" s="89"/>
      <c r="K737" s="89"/>
    </row>
    <row r="738" spans="1:11" x14ac:dyDescent="0.3">
      <c r="A738" s="89"/>
      <c r="B738" s="89"/>
      <c r="C738" s="89">
        <v>110</v>
      </c>
      <c r="D738" s="89">
        <v>1706135</v>
      </c>
      <c r="E738" s="89" t="s">
        <v>20</v>
      </c>
      <c r="F738" s="89">
        <v>8.5500000000000007E-2</v>
      </c>
      <c r="G738" s="89">
        <v>0.91449999999999998</v>
      </c>
      <c r="H738" s="89" t="s">
        <v>38</v>
      </c>
      <c r="I738" s="89" t="b">
        <v>0</v>
      </c>
      <c r="J738" s="89"/>
      <c r="K738" s="89"/>
    </row>
    <row r="739" spans="1:11" x14ac:dyDescent="0.3">
      <c r="A739" s="89"/>
      <c r="B739" s="89"/>
      <c r="C739" s="89">
        <v>209</v>
      </c>
      <c r="D739" s="89">
        <v>2303272</v>
      </c>
      <c r="E739" s="89" t="s">
        <v>20</v>
      </c>
      <c r="F739" s="89">
        <v>8.5500000000000007E-2</v>
      </c>
      <c r="G739" s="89">
        <v>0.91449999999999998</v>
      </c>
      <c r="H739" s="89" t="s">
        <v>38</v>
      </c>
      <c r="I739" s="89" t="b">
        <v>0</v>
      </c>
      <c r="J739" s="89"/>
      <c r="K739" s="89"/>
    </row>
    <row r="740" spans="1:11" x14ac:dyDescent="0.3">
      <c r="A740" s="89"/>
      <c r="B740" s="89"/>
      <c r="C740" s="89">
        <v>71</v>
      </c>
      <c r="D740" s="89">
        <v>2401089</v>
      </c>
      <c r="E740" s="89" t="s">
        <v>20</v>
      </c>
      <c r="F740" s="89">
        <v>8.5500000000000007E-2</v>
      </c>
      <c r="G740" s="89">
        <v>0.91449999999999998</v>
      </c>
      <c r="H740" s="89" t="s">
        <v>31</v>
      </c>
      <c r="I740" s="89" t="b">
        <v>0</v>
      </c>
      <c r="J740" s="89"/>
      <c r="K740" s="89"/>
    </row>
    <row r="741" spans="1:11" x14ac:dyDescent="0.3">
      <c r="A741" s="89"/>
      <c r="B741" s="89"/>
      <c r="C741" s="89">
        <v>84</v>
      </c>
      <c r="D741" s="89">
        <v>2404117</v>
      </c>
      <c r="E741" s="89" t="s">
        <v>20</v>
      </c>
      <c r="F741" s="89">
        <v>8.5300000000000001E-2</v>
      </c>
      <c r="G741" s="89">
        <v>0.91469999999999996</v>
      </c>
      <c r="H741" s="89" t="s">
        <v>31</v>
      </c>
      <c r="I741" s="89" t="b">
        <v>0</v>
      </c>
      <c r="J741" s="89"/>
      <c r="K741" s="89"/>
    </row>
    <row r="742" spans="1:11" x14ac:dyDescent="0.3">
      <c r="A742" s="89"/>
      <c r="B742" s="89"/>
      <c r="C742" s="89">
        <v>297</v>
      </c>
      <c r="D742" s="89">
        <v>1705397</v>
      </c>
      <c r="E742" s="89" t="s">
        <v>20</v>
      </c>
      <c r="F742" s="89">
        <v>8.5000000000000006E-2</v>
      </c>
      <c r="G742" s="89">
        <v>0.91500000000000004</v>
      </c>
      <c r="H742" s="89" t="s">
        <v>41</v>
      </c>
      <c r="I742" s="89" t="b">
        <v>0</v>
      </c>
      <c r="J742" s="89"/>
      <c r="K742" s="89"/>
    </row>
    <row r="743" spans="1:11" x14ac:dyDescent="0.3">
      <c r="A743" s="89"/>
      <c r="B743" s="89"/>
      <c r="C743" s="89">
        <v>197</v>
      </c>
      <c r="D743" s="89">
        <v>2303258</v>
      </c>
      <c r="E743" s="89" t="s">
        <v>20</v>
      </c>
      <c r="F743" s="89">
        <v>8.5000000000000006E-2</v>
      </c>
      <c r="G743" s="89">
        <v>0.91500000000000004</v>
      </c>
      <c r="H743" s="89" t="s">
        <v>38</v>
      </c>
      <c r="I743" s="89" t="b">
        <v>0</v>
      </c>
      <c r="J743" s="89"/>
      <c r="K743" s="89"/>
    </row>
    <row r="744" spans="1:11" x14ac:dyDescent="0.3">
      <c r="A744" s="89"/>
      <c r="B744" s="89"/>
      <c r="C744" s="89">
        <v>82</v>
      </c>
      <c r="D744" s="89">
        <v>2404115</v>
      </c>
      <c r="E744" s="89" t="s">
        <v>20</v>
      </c>
      <c r="F744" s="89">
        <v>8.43E-2</v>
      </c>
      <c r="G744" s="89">
        <v>0.91569999999999996</v>
      </c>
      <c r="H744" s="89" t="s">
        <v>38</v>
      </c>
      <c r="I744" s="89" t="b">
        <v>0</v>
      </c>
      <c r="J744" s="89"/>
      <c r="K744" s="89"/>
    </row>
    <row r="745" spans="1:11" x14ac:dyDescent="0.3">
      <c r="A745" s="89"/>
      <c r="B745" s="89"/>
      <c r="C745" s="89">
        <v>255</v>
      </c>
      <c r="D745" s="89">
        <v>1705319</v>
      </c>
      <c r="E745" s="89" t="s">
        <v>20</v>
      </c>
      <c r="F745" s="89">
        <v>8.4000000000000005E-2</v>
      </c>
      <c r="G745" s="89">
        <v>0.91600000000000004</v>
      </c>
      <c r="H745" s="89" t="s">
        <v>31</v>
      </c>
      <c r="I745" s="89" t="b">
        <v>0</v>
      </c>
      <c r="J745" s="89"/>
      <c r="K745" s="89"/>
    </row>
    <row r="746" spans="1:11" x14ac:dyDescent="0.3">
      <c r="A746" s="89"/>
      <c r="B746" s="89"/>
      <c r="C746" s="89">
        <v>153</v>
      </c>
      <c r="D746" s="89">
        <v>2303208</v>
      </c>
      <c r="E746" s="89" t="s">
        <v>20</v>
      </c>
      <c r="F746" s="89">
        <v>8.3299999999999999E-2</v>
      </c>
      <c r="G746" s="89">
        <v>0.91669999999999996</v>
      </c>
      <c r="H746" s="89" t="s">
        <v>31</v>
      </c>
      <c r="I746" s="89" t="b">
        <v>0</v>
      </c>
      <c r="J746" s="89"/>
      <c r="K746" s="89"/>
    </row>
    <row r="747" spans="1:11" x14ac:dyDescent="0.3">
      <c r="A747" s="89"/>
      <c r="B747" s="89"/>
      <c r="C747" s="89">
        <v>28</v>
      </c>
      <c r="D747" s="89">
        <v>1705032</v>
      </c>
      <c r="E747" s="89" t="s">
        <v>20</v>
      </c>
      <c r="F747" s="89">
        <v>8.3000000000000004E-2</v>
      </c>
      <c r="G747" s="89">
        <v>0.91700000000000004</v>
      </c>
      <c r="H747" s="89" t="s">
        <v>31</v>
      </c>
      <c r="I747" s="89" t="b">
        <v>0</v>
      </c>
      <c r="J747" s="89"/>
      <c r="K747" s="89"/>
    </row>
    <row r="748" spans="1:11" x14ac:dyDescent="0.3">
      <c r="A748" s="89"/>
      <c r="B748" s="89"/>
      <c r="C748" s="89">
        <v>304</v>
      </c>
      <c r="D748" s="89">
        <v>1705415</v>
      </c>
      <c r="E748" s="89" t="s">
        <v>20</v>
      </c>
      <c r="F748" s="89">
        <v>8.2799999999999999E-2</v>
      </c>
      <c r="G748" s="89">
        <v>0.91720000000000002</v>
      </c>
      <c r="H748" s="89" t="s">
        <v>31</v>
      </c>
      <c r="I748" s="89" t="b">
        <v>0</v>
      </c>
      <c r="J748" s="89"/>
      <c r="K748" s="89"/>
    </row>
    <row r="749" spans="1:11" x14ac:dyDescent="0.3">
      <c r="A749" s="89"/>
      <c r="B749" s="89"/>
      <c r="C749" s="89">
        <v>41</v>
      </c>
      <c r="D749" s="89">
        <v>2404060</v>
      </c>
      <c r="E749" s="89" t="s">
        <v>20</v>
      </c>
      <c r="F749" s="89">
        <v>8.2799999999999999E-2</v>
      </c>
      <c r="G749" s="89">
        <v>0.91720000000000002</v>
      </c>
      <c r="H749" s="89" t="s">
        <v>45</v>
      </c>
      <c r="I749" s="89" t="b">
        <v>0</v>
      </c>
      <c r="J749" s="89"/>
      <c r="K749" s="89"/>
    </row>
    <row r="750" spans="1:11" x14ac:dyDescent="0.3">
      <c r="A750" s="89"/>
      <c r="B750" s="89"/>
      <c r="C750" s="89">
        <v>95</v>
      </c>
      <c r="D750" s="89">
        <v>2303123</v>
      </c>
      <c r="E750" s="89" t="s">
        <v>20</v>
      </c>
      <c r="F750" s="89">
        <v>8.2500000000000004E-2</v>
      </c>
      <c r="G750" s="89">
        <v>0.91749999999999998</v>
      </c>
      <c r="H750" s="89" t="s">
        <v>46</v>
      </c>
      <c r="I750" s="89" t="b">
        <v>0</v>
      </c>
      <c r="J750" s="89"/>
      <c r="K750" s="89"/>
    </row>
    <row r="751" spans="1:11" x14ac:dyDescent="0.3">
      <c r="A751" s="89"/>
      <c r="B751" s="89"/>
      <c r="C751" s="89">
        <v>111</v>
      </c>
      <c r="D751" s="89">
        <v>2401141</v>
      </c>
      <c r="E751" s="89" t="s">
        <v>20</v>
      </c>
      <c r="F751" s="89">
        <v>8.1699999999999995E-2</v>
      </c>
      <c r="G751" s="89">
        <v>0.91830000000000001</v>
      </c>
      <c r="H751" s="89" t="s">
        <v>49</v>
      </c>
      <c r="I751" s="89" t="b">
        <v>0</v>
      </c>
      <c r="J751" s="89"/>
      <c r="K751" s="89"/>
    </row>
    <row r="752" spans="1:11" x14ac:dyDescent="0.3">
      <c r="A752" s="89"/>
      <c r="B752" s="89"/>
      <c r="C752" s="89">
        <v>86</v>
      </c>
      <c r="D752" s="89">
        <v>1705101</v>
      </c>
      <c r="E752" s="89" t="s">
        <v>20</v>
      </c>
      <c r="F752" s="89">
        <v>8.1600000000000006E-2</v>
      </c>
      <c r="G752" s="89">
        <v>0.91839999999999999</v>
      </c>
      <c r="H752" s="89" t="s">
        <v>52</v>
      </c>
      <c r="I752" s="89" t="b">
        <v>0</v>
      </c>
      <c r="J752" s="89"/>
      <c r="K752" s="89"/>
    </row>
    <row r="753" spans="1:11" x14ac:dyDescent="0.3">
      <c r="A753" s="89"/>
      <c r="B753" s="89"/>
      <c r="C753" s="89">
        <v>28</v>
      </c>
      <c r="D753" s="89">
        <v>2404042</v>
      </c>
      <c r="E753" s="89" t="s">
        <v>20</v>
      </c>
      <c r="F753" s="89">
        <v>8.1600000000000006E-2</v>
      </c>
      <c r="G753" s="89">
        <v>0.91839999999999999</v>
      </c>
      <c r="H753" s="89" t="s">
        <v>33</v>
      </c>
      <c r="I753" s="89" t="b">
        <v>0</v>
      </c>
      <c r="J753" s="89"/>
      <c r="K753" s="89"/>
    </row>
    <row r="754" spans="1:11" x14ac:dyDescent="0.3">
      <c r="A754" s="89"/>
      <c r="B754" s="89"/>
      <c r="C754" s="89">
        <v>132</v>
      </c>
      <c r="D754" s="89">
        <v>1705155</v>
      </c>
      <c r="E754" s="89" t="s">
        <v>20</v>
      </c>
      <c r="F754" s="89">
        <v>8.14E-2</v>
      </c>
      <c r="G754" s="89">
        <v>0.91859999999999997</v>
      </c>
      <c r="H754" s="89" t="s">
        <v>31</v>
      </c>
      <c r="I754" s="89" t="b">
        <v>0</v>
      </c>
      <c r="J754" s="89"/>
      <c r="K754" s="89"/>
    </row>
    <row r="755" spans="1:11" x14ac:dyDescent="0.3">
      <c r="A755" s="89"/>
      <c r="B755" s="89"/>
      <c r="C755" s="89">
        <v>76</v>
      </c>
      <c r="D755" s="89">
        <v>2401095</v>
      </c>
      <c r="E755" s="89" t="s">
        <v>20</v>
      </c>
      <c r="F755" s="89">
        <v>8.1100000000000005E-2</v>
      </c>
      <c r="G755" s="89">
        <v>0.91890000000000005</v>
      </c>
      <c r="H755" s="89" t="s">
        <v>38</v>
      </c>
      <c r="I755" s="89" t="b">
        <v>0</v>
      </c>
      <c r="J755" s="89"/>
      <c r="K755" s="89"/>
    </row>
    <row r="756" spans="1:11" x14ac:dyDescent="0.3">
      <c r="A756" s="89"/>
      <c r="B756" s="89"/>
      <c r="C756" s="89">
        <v>21</v>
      </c>
      <c r="D756" s="89">
        <v>1706028</v>
      </c>
      <c r="E756" s="89" t="s">
        <v>20</v>
      </c>
      <c r="F756" s="89">
        <v>8.1000000000000003E-2</v>
      </c>
      <c r="G756" s="89">
        <v>0.91900000000000004</v>
      </c>
      <c r="H756" s="89" t="s">
        <v>31</v>
      </c>
      <c r="I756" s="89" t="b">
        <v>0</v>
      </c>
      <c r="J756" s="89"/>
      <c r="K756" s="89"/>
    </row>
    <row r="757" spans="1:11" x14ac:dyDescent="0.3">
      <c r="A757" s="89"/>
      <c r="B757" s="89"/>
      <c r="C757" s="89">
        <v>75</v>
      </c>
      <c r="D757" s="89">
        <v>1705089</v>
      </c>
      <c r="E757" s="89" t="s">
        <v>20</v>
      </c>
      <c r="F757" s="89">
        <v>8.0799999999999997E-2</v>
      </c>
      <c r="G757" s="89">
        <v>0.91920000000000002</v>
      </c>
      <c r="H757" s="89" t="s">
        <v>31</v>
      </c>
      <c r="I757" s="89" t="b">
        <v>0</v>
      </c>
      <c r="J757" s="89"/>
      <c r="K757" s="89"/>
    </row>
    <row r="758" spans="1:11" x14ac:dyDescent="0.3">
      <c r="A758" s="89"/>
      <c r="B758" s="89"/>
      <c r="C758" s="89">
        <v>52</v>
      </c>
      <c r="D758" s="89">
        <v>2401067</v>
      </c>
      <c r="E758" s="89" t="s">
        <v>20</v>
      </c>
      <c r="F758" s="89">
        <v>8.0500000000000002E-2</v>
      </c>
      <c r="G758" s="89">
        <v>0.91949999999999998</v>
      </c>
      <c r="H758" s="89" t="s">
        <v>31</v>
      </c>
      <c r="I758" s="89" t="b">
        <v>0</v>
      </c>
      <c r="J758" s="89"/>
      <c r="K758" s="89"/>
    </row>
    <row r="759" spans="1:11" x14ac:dyDescent="0.3">
      <c r="A759" s="89"/>
      <c r="B759" s="89"/>
      <c r="C759" s="89">
        <v>143</v>
      </c>
      <c r="D759" s="89">
        <v>1705166</v>
      </c>
      <c r="E759" s="89" t="s">
        <v>20</v>
      </c>
      <c r="F759" s="89">
        <v>0.08</v>
      </c>
      <c r="G759" s="89">
        <v>0.92</v>
      </c>
      <c r="H759" s="89" t="s">
        <v>46</v>
      </c>
      <c r="I759" s="89" t="b">
        <v>0</v>
      </c>
      <c r="J759" s="89"/>
      <c r="K759" s="89"/>
    </row>
    <row r="760" spans="1:11" x14ac:dyDescent="0.3">
      <c r="A760" s="89"/>
      <c r="B760" s="89"/>
      <c r="C760" s="89">
        <v>4</v>
      </c>
      <c r="D760" s="89">
        <v>2303005</v>
      </c>
      <c r="E760" s="89" t="s">
        <v>20</v>
      </c>
      <c r="F760" s="89">
        <v>7.9600000000000004E-2</v>
      </c>
      <c r="G760" s="89">
        <v>0.9204</v>
      </c>
      <c r="H760" s="89" t="s">
        <v>31</v>
      </c>
      <c r="I760" s="89" t="b">
        <v>0</v>
      </c>
      <c r="J760" s="89"/>
      <c r="K760" s="89"/>
    </row>
    <row r="761" spans="1:11" x14ac:dyDescent="0.3">
      <c r="A761" s="89"/>
      <c r="B761" s="89"/>
      <c r="C761" s="89">
        <v>112</v>
      </c>
      <c r="D761" s="89">
        <v>2401142</v>
      </c>
      <c r="E761" s="89" t="s">
        <v>20</v>
      </c>
      <c r="F761" s="89">
        <v>7.9600000000000004E-2</v>
      </c>
      <c r="G761" s="89">
        <v>0.9204</v>
      </c>
      <c r="H761" s="89" t="s">
        <v>31</v>
      </c>
      <c r="I761" s="89" t="b">
        <v>0</v>
      </c>
      <c r="J761" s="89"/>
      <c r="K761" s="89"/>
    </row>
    <row r="762" spans="1:11" x14ac:dyDescent="0.3">
      <c r="A762" s="89"/>
      <c r="B762" s="89"/>
      <c r="C762" s="89">
        <v>24</v>
      </c>
      <c r="D762" s="89">
        <v>2404037</v>
      </c>
      <c r="E762" s="89" t="s">
        <v>20</v>
      </c>
      <c r="F762" s="89">
        <v>7.9200000000000007E-2</v>
      </c>
      <c r="G762" s="89">
        <v>0.92079999999999995</v>
      </c>
      <c r="H762" s="89" t="s">
        <v>31</v>
      </c>
      <c r="I762" s="89" t="b">
        <v>0</v>
      </c>
      <c r="J762" s="89"/>
      <c r="K762" s="89"/>
    </row>
    <row r="763" spans="1:11" x14ac:dyDescent="0.3">
      <c r="A763" s="89"/>
      <c r="B763" s="89"/>
      <c r="C763" s="89">
        <v>175</v>
      </c>
      <c r="D763" s="89">
        <v>2303232</v>
      </c>
      <c r="E763" s="89" t="s">
        <v>20</v>
      </c>
      <c r="F763" s="89">
        <v>7.9100000000000004E-2</v>
      </c>
      <c r="G763" s="89">
        <v>0.92090000000000005</v>
      </c>
      <c r="H763" s="89" t="s">
        <v>31</v>
      </c>
      <c r="I763" s="89" t="b">
        <v>0</v>
      </c>
      <c r="J763" s="89"/>
      <c r="K763" s="89"/>
    </row>
    <row r="764" spans="1:11" x14ac:dyDescent="0.3">
      <c r="A764" s="89"/>
      <c r="B764" s="89"/>
      <c r="C764" s="89">
        <v>22</v>
      </c>
      <c r="D764" s="89">
        <v>1705023</v>
      </c>
      <c r="E764" s="89" t="s">
        <v>20</v>
      </c>
      <c r="F764" s="89">
        <v>7.9000000000000001E-2</v>
      </c>
      <c r="G764" s="89">
        <v>0.92100000000000004</v>
      </c>
      <c r="H764" s="89" t="s">
        <v>46</v>
      </c>
      <c r="I764" s="89" t="b">
        <v>0</v>
      </c>
      <c r="J764" s="89"/>
      <c r="K764" s="89"/>
    </row>
    <row r="765" spans="1:11" x14ac:dyDescent="0.3">
      <c r="A765" s="89"/>
      <c r="B765" s="89"/>
      <c r="C765" s="89">
        <v>25</v>
      </c>
      <c r="D765" s="89">
        <v>1705027</v>
      </c>
      <c r="E765" s="89" t="s">
        <v>20</v>
      </c>
      <c r="F765" s="89">
        <v>7.9000000000000001E-2</v>
      </c>
      <c r="G765" s="89">
        <v>0.92100000000000004</v>
      </c>
      <c r="H765" s="89" t="s">
        <v>31</v>
      </c>
      <c r="I765" s="89" t="b">
        <v>0</v>
      </c>
      <c r="J765" s="89"/>
      <c r="K765" s="89"/>
    </row>
    <row r="766" spans="1:11" x14ac:dyDescent="0.3">
      <c r="A766" s="89"/>
      <c r="B766" s="89"/>
      <c r="C766" s="89">
        <v>207</v>
      </c>
      <c r="D766" s="89">
        <v>1705247</v>
      </c>
      <c r="E766" s="89" t="s">
        <v>20</v>
      </c>
      <c r="F766" s="89">
        <v>7.8899999999999998E-2</v>
      </c>
      <c r="G766" s="89">
        <v>0.92110000000000003</v>
      </c>
      <c r="H766" s="89" t="s">
        <v>31</v>
      </c>
      <c r="I766" s="89" t="b">
        <v>0</v>
      </c>
      <c r="J766" s="89"/>
      <c r="K766" s="89"/>
    </row>
    <row r="767" spans="1:11" x14ac:dyDescent="0.3">
      <c r="A767" s="89"/>
      <c r="B767" s="89"/>
      <c r="C767" s="89">
        <v>55</v>
      </c>
      <c r="D767" s="89">
        <v>2303066</v>
      </c>
      <c r="E767" s="89" t="s">
        <v>20</v>
      </c>
      <c r="F767" s="89">
        <v>7.8899999999999998E-2</v>
      </c>
      <c r="G767" s="89">
        <v>0.92110000000000003</v>
      </c>
      <c r="H767" s="89" t="s">
        <v>31</v>
      </c>
      <c r="I767" s="89" t="b">
        <v>0</v>
      </c>
      <c r="J767" s="89"/>
      <c r="K767" s="89"/>
    </row>
    <row r="768" spans="1:11" x14ac:dyDescent="0.3">
      <c r="A768" s="89"/>
      <c r="B768" s="89"/>
      <c r="C768" s="89">
        <v>168</v>
      </c>
      <c r="D768" s="89">
        <v>2303225</v>
      </c>
      <c r="E768" s="89" t="s">
        <v>20</v>
      </c>
      <c r="F768" s="89">
        <v>7.8899999999999998E-2</v>
      </c>
      <c r="G768" s="89">
        <v>0.92110000000000003</v>
      </c>
      <c r="H768" s="89" t="s">
        <v>31</v>
      </c>
      <c r="I768" s="89" t="b">
        <v>0</v>
      </c>
      <c r="J768" s="89"/>
      <c r="K768" s="89"/>
    </row>
    <row r="769" spans="1:11" x14ac:dyDescent="0.3">
      <c r="A769" s="89"/>
      <c r="B769" s="89"/>
      <c r="C769" s="89">
        <v>184</v>
      </c>
      <c r="D769" s="89">
        <v>2303242</v>
      </c>
      <c r="E769" s="89" t="s">
        <v>20</v>
      </c>
      <c r="F769" s="89">
        <v>7.8899999999999998E-2</v>
      </c>
      <c r="G769" s="89">
        <v>0.92110000000000003</v>
      </c>
      <c r="H769" s="89" t="s">
        <v>38</v>
      </c>
      <c r="I769" s="89" t="b">
        <v>0</v>
      </c>
      <c r="J769" s="89"/>
      <c r="K769" s="89"/>
    </row>
    <row r="770" spans="1:11" x14ac:dyDescent="0.3">
      <c r="A770" s="89"/>
      <c r="B770" s="89"/>
      <c r="C770" s="89">
        <v>59</v>
      </c>
      <c r="D770" s="89">
        <v>2401075</v>
      </c>
      <c r="E770" s="89" t="s">
        <v>20</v>
      </c>
      <c r="F770" s="89">
        <v>7.8899999999999998E-2</v>
      </c>
      <c r="G770" s="89">
        <v>0.92110000000000003</v>
      </c>
      <c r="H770" s="89" t="s">
        <v>33</v>
      </c>
      <c r="I770" s="89" t="b">
        <v>0</v>
      </c>
      <c r="J770" s="89"/>
      <c r="K770" s="89"/>
    </row>
    <row r="771" spans="1:11" x14ac:dyDescent="0.3">
      <c r="A771" s="89"/>
      <c r="B771" s="89"/>
      <c r="C771" s="89">
        <v>11</v>
      </c>
      <c r="D771" s="89">
        <v>2303014</v>
      </c>
      <c r="E771" s="89" t="s">
        <v>20</v>
      </c>
      <c r="F771" s="89">
        <v>7.8799999999999995E-2</v>
      </c>
      <c r="G771" s="89">
        <v>0.92120000000000002</v>
      </c>
      <c r="H771" s="89" t="s">
        <v>31</v>
      </c>
      <c r="I771" s="89" t="b">
        <v>0</v>
      </c>
      <c r="J771" s="89"/>
      <c r="K771" s="89"/>
    </row>
    <row r="772" spans="1:11" x14ac:dyDescent="0.3">
      <c r="A772" s="89"/>
      <c r="B772" s="89"/>
      <c r="C772" s="89">
        <v>141</v>
      </c>
      <c r="D772" s="89">
        <v>2303189</v>
      </c>
      <c r="E772" s="89" t="s">
        <v>20</v>
      </c>
      <c r="F772" s="89">
        <v>7.8399999999999997E-2</v>
      </c>
      <c r="G772" s="89">
        <v>0.92159999999999997</v>
      </c>
      <c r="H772" s="89" t="s">
        <v>38</v>
      </c>
      <c r="I772" s="89" t="b">
        <v>0</v>
      </c>
      <c r="J772" s="89"/>
      <c r="K772" s="89"/>
    </row>
    <row r="773" spans="1:11" x14ac:dyDescent="0.3">
      <c r="A773" s="89"/>
      <c r="B773" s="89"/>
      <c r="C773" s="89">
        <v>129</v>
      </c>
      <c r="D773" s="89">
        <v>1706156</v>
      </c>
      <c r="E773" s="89" t="s">
        <v>20</v>
      </c>
      <c r="F773" s="89">
        <v>7.8E-2</v>
      </c>
      <c r="G773" s="89">
        <v>0.92200000000000004</v>
      </c>
      <c r="H773" s="89" t="s">
        <v>38</v>
      </c>
      <c r="I773" s="89" t="b">
        <v>0</v>
      </c>
      <c r="J773" s="89"/>
      <c r="K773" s="89"/>
    </row>
    <row r="774" spans="1:11" x14ac:dyDescent="0.3">
      <c r="A774" s="89"/>
      <c r="B774" s="89"/>
      <c r="C774" s="89">
        <v>108</v>
      </c>
      <c r="D774" s="89">
        <v>2303142</v>
      </c>
      <c r="E774" s="89" t="s">
        <v>20</v>
      </c>
      <c r="F774" s="89">
        <v>7.8E-2</v>
      </c>
      <c r="G774" s="89">
        <v>0.92200000000000004</v>
      </c>
      <c r="H774" s="89" t="s">
        <v>31</v>
      </c>
      <c r="I774" s="89" t="b">
        <v>0</v>
      </c>
      <c r="J774" s="89"/>
      <c r="K774" s="89"/>
    </row>
    <row r="775" spans="1:11" x14ac:dyDescent="0.3">
      <c r="A775" s="89"/>
      <c r="B775" s="89"/>
      <c r="C775" s="89">
        <v>114</v>
      </c>
      <c r="D775" s="89">
        <v>2303150</v>
      </c>
      <c r="E775" s="89" t="s">
        <v>20</v>
      </c>
      <c r="F775" s="89">
        <v>7.8E-2</v>
      </c>
      <c r="G775" s="89">
        <v>0.92200000000000004</v>
      </c>
      <c r="H775" s="89" t="s">
        <v>31</v>
      </c>
      <c r="I775" s="89" t="b">
        <v>0</v>
      </c>
      <c r="J775" s="89"/>
      <c r="K775" s="89"/>
    </row>
    <row r="776" spans="1:11" x14ac:dyDescent="0.3">
      <c r="A776" s="89"/>
      <c r="B776" s="89"/>
      <c r="C776" s="89">
        <v>89</v>
      </c>
      <c r="D776" s="89">
        <v>2401113</v>
      </c>
      <c r="E776" s="89" t="s">
        <v>20</v>
      </c>
      <c r="F776" s="89">
        <v>7.7600000000000002E-2</v>
      </c>
      <c r="G776" s="89">
        <v>0.9224</v>
      </c>
      <c r="H776" s="89" t="s">
        <v>31</v>
      </c>
      <c r="I776" s="89" t="b">
        <v>0</v>
      </c>
      <c r="J776" s="89"/>
      <c r="K776" s="89"/>
    </row>
    <row r="777" spans="1:11" x14ac:dyDescent="0.3">
      <c r="A777" s="89"/>
      <c r="B777" s="89"/>
      <c r="C777" s="89">
        <v>295</v>
      </c>
      <c r="D777" s="89">
        <v>2303374</v>
      </c>
      <c r="E777" s="89" t="s">
        <v>20</v>
      </c>
      <c r="F777" s="89">
        <v>7.7399999999999997E-2</v>
      </c>
      <c r="G777" s="89">
        <v>0.92259999999999998</v>
      </c>
      <c r="H777" s="89" t="s">
        <v>52</v>
      </c>
      <c r="I777" s="89" t="b">
        <v>0</v>
      </c>
      <c r="J777" s="89"/>
      <c r="K777" s="89"/>
    </row>
    <row r="778" spans="1:11" x14ac:dyDescent="0.3">
      <c r="A778" s="89"/>
      <c r="B778" s="89"/>
      <c r="C778" s="89">
        <v>107</v>
      </c>
      <c r="D778" s="89">
        <v>2404146</v>
      </c>
      <c r="E778" s="89" t="s">
        <v>20</v>
      </c>
      <c r="F778" s="89">
        <v>7.7100000000000002E-2</v>
      </c>
      <c r="G778" s="89">
        <v>0.92290000000000005</v>
      </c>
      <c r="H778" s="89" t="s">
        <v>28</v>
      </c>
      <c r="I778" s="89" t="b">
        <v>0</v>
      </c>
      <c r="J778" s="89"/>
      <c r="K778" s="89"/>
    </row>
    <row r="779" spans="1:11" x14ac:dyDescent="0.3">
      <c r="A779" s="89"/>
      <c r="B779" s="89"/>
      <c r="C779" s="89">
        <v>43</v>
      </c>
      <c r="D779" s="89">
        <v>2303052</v>
      </c>
      <c r="E779" s="89" t="s">
        <v>20</v>
      </c>
      <c r="F779" s="89">
        <v>7.6200000000000004E-2</v>
      </c>
      <c r="G779" s="89">
        <v>0.92379999999999995</v>
      </c>
      <c r="H779" s="89" t="s">
        <v>31</v>
      </c>
      <c r="I779" s="89" t="b">
        <v>0</v>
      </c>
      <c r="J779" s="89"/>
      <c r="K779" s="89"/>
    </row>
    <row r="780" spans="1:11" x14ac:dyDescent="0.3">
      <c r="A780" s="89"/>
      <c r="B780" s="89"/>
      <c r="C780" s="89">
        <v>145</v>
      </c>
      <c r="D780" s="89">
        <v>1705168</v>
      </c>
      <c r="E780" s="89" t="s">
        <v>20</v>
      </c>
      <c r="F780" s="89">
        <v>7.5999999999999998E-2</v>
      </c>
      <c r="G780" s="89">
        <v>0.92400000000000004</v>
      </c>
      <c r="H780" s="89" t="s">
        <v>31</v>
      </c>
      <c r="I780" s="89" t="b">
        <v>0</v>
      </c>
      <c r="J780" s="89"/>
      <c r="K780" s="89"/>
    </row>
    <row r="781" spans="1:11" x14ac:dyDescent="0.3">
      <c r="A781" s="89"/>
      <c r="B781" s="89"/>
      <c r="C781" s="89">
        <v>130</v>
      </c>
      <c r="D781" s="89">
        <v>2303171</v>
      </c>
      <c r="E781" s="89" t="s">
        <v>20</v>
      </c>
      <c r="F781" s="89">
        <v>7.5899999999999995E-2</v>
      </c>
      <c r="G781" s="89">
        <v>0.92410000000000003</v>
      </c>
      <c r="H781" s="89" t="s">
        <v>31</v>
      </c>
      <c r="I781" s="89" t="b">
        <v>0</v>
      </c>
      <c r="J781" s="89"/>
      <c r="K781" s="89"/>
    </row>
    <row r="782" spans="1:11" x14ac:dyDescent="0.3">
      <c r="A782" s="89"/>
      <c r="B782" s="89"/>
      <c r="C782" s="89">
        <v>122</v>
      </c>
      <c r="D782" s="89">
        <v>2404164</v>
      </c>
      <c r="E782" s="89" t="s">
        <v>20</v>
      </c>
      <c r="F782" s="89">
        <v>7.5899999999999995E-2</v>
      </c>
      <c r="G782" s="89">
        <v>0.92410000000000003</v>
      </c>
      <c r="H782" s="89" t="s">
        <v>38</v>
      </c>
      <c r="I782" s="89" t="b">
        <v>0</v>
      </c>
      <c r="J782" s="89"/>
      <c r="K782" s="89"/>
    </row>
    <row r="783" spans="1:11" x14ac:dyDescent="0.3">
      <c r="A783" s="89"/>
      <c r="B783" s="89"/>
      <c r="C783" s="89">
        <v>210</v>
      </c>
      <c r="D783" s="89">
        <v>2303273</v>
      </c>
      <c r="E783" s="89" t="s">
        <v>20</v>
      </c>
      <c r="F783" s="89">
        <v>7.5600000000000001E-2</v>
      </c>
      <c r="G783" s="89">
        <v>0.9244</v>
      </c>
      <c r="H783" s="89" t="s">
        <v>38</v>
      </c>
      <c r="I783" s="89" t="b">
        <v>0</v>
      </c>
      <c r="J783" s="89"/>
      <c r="K783" s="89"/>
    </row>
    <row r="784" spans="1:11" x14ac:dyDescent="0.3">
      <c r="A784" s="89"/>
      <c r="B784" s="89"/>
      <c r="C784" s="89">
        <v>77</v>
      </c>
      <c r="D784" s="89">
        <v>2401097</v>
      </c>
      <c r="E784" s="89" t="s">
        <v>20</v>
      </c>
      <c r="F784" s="89">
        <v>7.5399999999999995E-2</v>
      </c>
      <c r="G784" s="89">
        <v>0.92459999999999998</v>
      </c>
      <c r="H784" s="89" t="s">
        <v>38</v>
      </c>
      <c r="I784" s="89" t="b">
        <v>0</v>
      </c>
      <c r="J784" s="89"/>
      <c r="K784" s="89"/>
    </row>
    <row r="785" spans="1:11" x14ac:dyDescent="0.3">
      <c r="A785" s="89"/>
      <c r="B785" s="89"/>
      <c r="C785" s="89">
        <v>121</v>
      </c>
      <c r="D785" s="89">
        <v>1706148</v>
      </c>
      <c r="E785" s="89" t="s">
        <v>20</v>
      </c>
      <c r="F785" s="89">
        <v>7.5200000000000003E-2</v>
      </c>
      <c r="G785" s="89">
        <v>0.92479999999999996</v>
      </c>
      <c r="H785" s="89" t="s">
        <v>38</v>
      </c>
      <c r="I785" s="89" t="b">
        <v>0</v>
      </c>
      <c r="J785" s="89"/>
      <c r="K785" s="89"/>
    </row>
    <row r="786" spans="1:11" x14ac:dyDescent="0.3">
      <c r="A786" s="89"/>
      <c r="B786" s="89"/>
      <c r="C786" s="89">
        <v>30</v>
      </c>
      <c r="D786" s="89">
        <v>2404046</v>
      </c>
      <c r="E786" s="89" t="s">
        <v>20</v>
      </c>
      <c r="F786" s="89">
        <v>7.4700000000000003E-2</v>
      </c>
      <c r="G786" s="89">
        <v>0.92530000000000001</v>
      </c>
      <c r="H786" s="89" t="s">
        <v>31</v>
      </c>
      <c r="I786" s="89" t="b">
        <v>0</v>
      </c>
      <c r="J786" s="89"/>
      <c r="K786" s="89"/>
    </row>
    <row r="787" spans="1:11" x14ac:dyDescent="0.3">
      <c r="A787" s="89"/>
      <c r="B787" s="89"/>
      <c r="C787" s="89">
        <v>61</v>
      </c>
      <c r="D787" s="89">
        <v>2303075</v>
      </c>
      <c r="E787" s="89" t="s">
        <v>20</v>
      </c>
      <c r="F787" s="89">
        <v>7.46E-2</v>
      </c>
      <c r="G787" s="89">
        <v>0.9254</v>
      </c>
      <c r="H787" s="89" t="s">
        <v>38</v>
      </c>
      <c r="I787" s="89" t="b">
        <v>0</v>
      </c>
      <c r="J787" s="89"/>
      <c r="K787" s="89"/>
    </row>
    <row r="788" spans="1:11" x14ac:dyDescent="0.3">
      <c r="A788" s="89"/>
      <c r="B788" s="89"/>
      <c r="C788" s="89">
        <v>4</v>
      </c>
      <c r="D788" s="89">
        <v>2404005</v>
      </c>
      <c r="E788" s="89" t="s">
        <v>20</v>
      </c>
      <c r="F788" s="89">
        <v>7.46E-2</v>
      </c>
      <c r="G788" s="89">
        <v>0.9254</v>
      </c>
      <c r="H788" s="89" t="s">
        <v>38</v>
      </c>
      <c r="I788" s="89" t="b">
        <v>0</v>
      </c>
      <c r="J788" s="89"/>
      <c r="K788" s="89"/>
    </row>
    <row r="789" spans="1:11" x14ac:dyDescent="0.3">
      <c r="A789" s="89"/>
      <c r="B789" s="89"/>
      <c r="C789" s="89">
        <v>50</v>
      </c>
      <c r="D789" s="89">
        <v>2401065</v>
      </c>
      <c r="E789" s="89" t="s">
        <v>20</v>
      </c>
      <c r="F789" s="89">
        <v>7.3899999999999993E-2</v>
      </c>
      <c r="G789" s="89">
        <v>0.92610000000000003</v>
      </c>
      <c r="H789" s="89" t="s">
        <v>28</v>
      </c>
      <c r="I789" s="89" t="b">
        <v>0</v>
      </c>
      <c r="J789" s="89"/>
      <c r="K789" s="89"/>
    </row>
    <row r="790" spans="1:11" x14ac:dyDescent="0.3">
      <c r="A790" s="89"/>
      <c r="B790" s="89"/>
      <c r="C790" s="89">
        <v>19</v>
      </c>
      <c r="D790" s="89">
        <v>1705020</v>
      </c>
      <c r="E790" s="89" t="s">
        <v>20</v>
      </c>
      <c r="F790" s="89">
        <v>7.3800000000000004E-2</v>
      </c>
      <c r="G790" s="89">
        <v>0.92620000000000002</v>
      </c>
      <c r="H790" s="89" t="s">
        <v>31</v>
      </c>
      <c r="I790" s="89" t="b">
        <v>0</v>
      </c>
      <c r="J790" s="89"/>
      <c r="K790" s="89"/>
    </row>
    <row r="791" spans="1:11" x14ac:dyDescent="0.3">
      <c r="A791" s="89"/>
      <c r="B791" s="89"/>
      <c r="C791" s="89">
        <v>6</v>
      </c>
      <c r="D791" s="89">
        <v>2404009</v>
      </c>
      <c r="E791" s="89" t="s">
        <v>20</v>
      </c>
      <c r="F791" s="89">
        <v>7.3700000000000002E-2</v>
      </c>
      <c r="G791" s="89">
        <v>0.92630000000000001</v>
      </c>
      <c r="H791" s="89" t="s">
        <v>31</v>
      </c>
      <c r="I791" s="89" t="b">
        <v>0</v>
      </c>
      <c r="J791" s="89"/>
      <c r="K791" s="89"/>
    </row>
    <row r="792" spans="1:11" x14ac:dyDescent="0.3">
      <c r="A792" s="89"/>
      <c r="B792" s="89"/>
      <c r="C792" s="89">
        <v>55</v>
      </c>
      <c r="D792" s="89">
        <v>2404079</v>
      </c>
      <c r="E792" s="89" t="s">
        <v>20</v>
      </c>
      <c r="F792" s="89">
        <v>7.3599999999999999E-2</v>
      </c>
      <c r="G792" s="89">
        <v>0.9264</v>
      </c>
      <c r="H792" s="89" t="s">
        <v>31</v>
      </c>
      <c r="I792" s="89" t="b">
        <v>0</v>
      </c>
      <c r="J792" s="89"/>
      <c r="K792" s="89"/>
    </row>
    <row r="793" spans="1:11" x14ac:dyDescent="0.3">
      <c r="A793" s="89"/>
      <c r="B793" s="89"/>
      <c r="C793" s="89">
        <v>264</v>
      </c>
      <c r="D793" s="89">
        <v>1705330</v>
      </c>
      <c r="E793" s="89" t="s">
        <v>20</v>
      </c>
      <c r="F793" s="89">
        <v>7.3300000000000004E-2</v>
      </c>
      <c r="G793" s="89">
        <v>0.92669999999999997</v>
      </c>
      <c r="H793" s="89" t="s">
        <v>31</v>
      </c>
      <c r="I793" s="89" t="b">
        <v>0</v>
      </c>
      <c r="J793" s="89"/>
      <c r="K793" s="89"/>
    </row>
    <row r="794" spans="1:11" x14ac:dyDescent="0.3">
      <c r="A794" s="89"/>
      <c r="B794" s="89"/>
      <c r="C794" s="89">
        <v>235</v>
      </c>
      <c r="D794" s="89">
        <v>1706297</v>
      </c>
      <c r="E794" s="89" t="s">
        <v>20</v>
      </c>
      <c r="F794" s="89">
        <v>7.3099999999999998E-2</v>
      </c>
      <c r="G794" s="89">
        <v>0.92689999999999995</v>
      </c>
      <c r="H794" s="89" t="s">
        <v>38</v>
      </c>
      <c r="I794" s="89" t="b">
        <v>0</v>
      </c>
      <c r="J794" s="89"/>
      <c r="K794" s="89"/>
    </row>
    <row r="795" spans="1:11" x14ac:dyDescent="0.3">
      <c r="A795" s="89"/>
      <c r="B795" s="89"/>
      <c r="C795" s="89">
        <v>46</v>
      </c>
      <c r="D795" s="89">
        <v>2401060</v>
      </c>
      <c r="E795" s="89" t="s">
        <v>20</v>
      </c>
      <c r="F795" s="89">
        <v>7.3099999999999998E-2</v>
      </c>
      <c r="G795" s="89">
        <v>0.92689999999999995</v>
      </c>
      <c r="H795" s="89" t="s">
        <v>38</v>
      </c>
      <c r="I795" s="89" t="b">
        <v>0</v>
      </c>
      <c r="J795" s="89"/>
      <c r="K795" s="89"/>
    </row>
    <row r="796" spans="1:11" x14ac:dyDescent="0.3">
      <c r="A796" s="89"/>
      <c r="B796" s="89"/>
      <c r="C796" s="89">
        <v>92</v>
      </c>
      <c r="D796" s="89">
        <v>2401119</v>
      </c>
      <c r="E796" s="89" t="s">
        <v>20</v>
      </c>
      <c r="F796" s="89">
        <v>7.2999999999999995E-2</v>
      </c>
      <c r="G796" s="89">
        <v>0.92700000000000005</v>
      </c>
      <c r="H796" s="89" t="s">
        <v>31</v>
      </c>
      <c r="I796" s="89" t="b">
        <v>0</v>
      </c>
      <c r="J796" s="89"/>
      <c r="K796" s="89"/>
    </row>
    <row r="797" spans="1:11" x14ac:dyDescent="0.3">
      <c r="A797" s="89"/>
      <c r="B797" s="89"/>
      <c r="C797" s="89">
        <v>54</v>
      </c>
      <c r="D797" s="89">
        <v>1705062</v>
      </c>
      <c r="E797" s="89" t="s">
        <v>20</v>
      </c>
      <c r="F797" s="89">
        <v>7.2900000000000006E-2</v>
      </c>
      <c r="G797" s="89">
        <v>0.92710000000000004</v>
      </c>
      <c r="H797" s="89" t="s">
        <v>31</v>
      </c>
      <c r="I797" s="89" t="b">
        <v>0</v>
      </c>
      <c r="J797" s="89"/>
      <c r="K797" s="89"/>
    </row>
    <row r="798" spans="1:11" x14ac:dyDescent="0.3">
      <c r="A798" s="89"/>
      <c r="B798" s="89"/>
      <c r="C798" s="89">
        <v>44</v>
      </c>
      <c r="D798" s="89">
        <v>1705048</v>
      </c>
      <c r="E798" s="89" t="s">
        <v>20</v>
      </c>
      <c r="F798" s="89">
        <v>7.2599999999999998E-2</v>
      </c>
      <c r="G798" s="89">
        <v>0.9274</v>
      </c>
      <c r="H798" s="89" t="s">
        <v>31</v>
      </c>
      <c r="I798" s="89" t="b">
        <v>0</v>
      </c>
      <c r="J798" s="89"/>
      <c r="K798" s="89"/>
    </row>
    <row r="799" spans="1:11" x14ac:dyDescent="0.3">
      <c r="A799" s="89"/>
      <c r="B799" s="89"/>
      <c r="C799" s="89">
        <v>34</v>
      </c>
      <c r="D799" s="89">
        <v>1705038</v>
      </c>
      <c r="E799" s="89" t="s">
        <v>20</v>
      </c>
      <c r="F799" s="89">
        <v>7.2499999999999995E-2</v>
      </c>
      <c r="G799" s="89">
        <v>0.92749999999999999</v>
      </c>
      <c r="H799" s="89" t="s">
        <v>31</v>
      </c>
      <c r="I799" s="89" t="b">
        <v>0</v>
      </c>
      <c r="J799" s="89"/>
      <c r="K799" s="89"/>
    </row>
    <row r="800" spans="1:11" x14ac:dyDescent="0.3">
      <c r="A800" s="89"/>
      <c r="B800" s="89"/>
      <c r="C800" s="89">
        <v>218</v>
      </c>
      <c r="D800" s="89">
        <v>1705259</v>
      </c>
      <c r="E800" s="89" t="s">
        <v>20</v>
      </c>
      <c r="F800" s="89">
        <v>7.1999999999999995E-2</v>
      </c>
      <c r="G800" s="89">
        <v>0.92800000000000005</v>
      </c>
      <c r="H800" s="89" t="s">
        <v>38</v>
      </c>
      <c r="I800" s="89" t="b">
        <v>0</v>
      </c>
      <c r="J800" s="89"/>
      <c r="K800" s="89"/>
    </row>
    <row r="801" spans="1:11" x14ac:dyDescent="0.3">
      <c r="A801" s="89"/>
      <c r="B801" s="89"/>
      <c r="C801" s="89">
        <v>42</v>
      </c>
      <c r="D801" s="89">
        <v>1705046</v>
      </c>
      <c r="E801" s="89" t="s">
        <v>20</v>
      </c>
      <c r="F801" s="89">
        <v>7.1800000000000003E-2</v>
      </c>
      <c r="G801" s="89">
        <v>0.92820000000000003</v>
      </c>
      <c r="H801" s="89" t="s">
        <v>31</v>
      </c>
      <c r="I801" s="89" t="b">
        <v>0</v>
      </c>
      <c r="J801" s="89"/>
      <c r="K801" s="89"/>
    </row>
    <row r="802" spans="1:11" x14ac:dyDescent="0.3">
      <c r="A802" s="89"/>
      <c r="B802" s="89"/>
      <c r="C802" s="89">
        <v>68</v>
      </c>
      <c r="D802" s="89">
        <v>1705077</v>
      </c>
      <c r="E802" s="89" t="s">
        <v>20</v>
      </c>
      <c r="F802" s="89">
        <v>7.1800000000000003E-2</v>
      </c>
      <c r="G802" s="89">
        <v>0.92820000000000003</v>
      </c>
      <c r="H802" s="89" t="s">
        <v>52</v>
      </c>
      <c r="I802" s="89" t="b">
        <v>0</v>
      </c>
      <c r="J802" s="89"/>
      <c r="K802" s="89"/>
    </row>
    <row r="803" spans="1:11" x14ac:dyDescent="0.3">
      <c r="A803" s="89"/>
      <c r="B803" s="89"/>
      <c r="C803" s="89">
        <v>191</v>
      </c>
      <c r="D803" s="89">
        <v>1706226</v>
      </c>
      <c r="E803" s="89" t="s">
        <v>20</v>
      </c>
      <c r="F803" s="89">
        <v>7.1400000000000005E-2</v>
      </c>
      <c r="G803" s="89">
        <v>0.92859999999999998</v>
      </c>
      <c r="H803" s="89" t="s">
        <v>38</v>
      </c>
      <c r="I803" s="89" t="b">
        <v>0</v>
      </c>
      <c r="J803" s="89"/>
      <c r="K803" s="89"/>
    </row>
    <row r="804" spans="1:11" x14ac:dyDescent="0.3">
      <c r="A804" s="89"/>
      <c r="B804" s="89"/>
      <c r="C804" s="89">
        <v>120</v>
      </c>
      <c r="D804" s="89">
        <v>1705140</v>
      </c>
      <c r="E804" s="89" t="s">
        <v>20</v>
      </c>
      <c r="F804" s="89">
        <v>7.1199999999999999E-2</v>
      </c>
      <c r="G804" s="89">
        <v>0.92879999999999996</v>
      </c>
      <c r="H804" s="89" t="s">
        <v>31</v>
      </c>
      <c r="I804" s="89" t="b">
        <v>0</v>
      </c>
      <c r="J804" s="89"/>
      <c r="K804" s="89"/>
    </row>
    <row r="805" spans="1:11" x14ac:dyDescent="0.3">
      <c r="A805" s="89"/>
      <c r="B805" s="89"/>
      <c r="C805" s="89">
        <v>240</v>
      </c>
      <c r="D805" s="89">
        <v>1705298</v>
      </c>
      <c r="E805" s="89" t="s">
        <v>20</v>
      </c>
      <c r="F805" s="89">
        <v>7.1099999999999997E-2</v>
      </c>
      <c r="G805" s="89">
        <v>0.92889999999999995</v>
      </c>
      <c r="H805" s="89" t="s">
        <v>33</v>
      </c>
      <c r="I805" s="89" t="b">
        <v>0</v>
      </c>
      <c r="J805" s="89"/>
      <c r="K805" s="89"/>
    </row>
    <row r="806" spans="1:11" x14ac:dyDescent="0.3">
      <c r="A806" s="89"/>
      <c r="B806" s="89"/>
      <c r="C806" s="89">
        <v>10</v>
      </c>
      <c r="D806" s="89">
        <v>2401016</v>
      </c>
      <c r="E806" s="89" t="s">
        <v>20</v>
      </c>
      <c r="F806" s="89">
        <v>7.0999999999999994E-2</v>
      </c>
      <c r="G806" s="89">
        <v>0.92900000000000005</v>
      </c>
      <c r="H806" s="89" t="s">
        <v>31</v>
      </c>
      <c r="I806" s="89" t="b">
        <v>0</v>
      </c>
      <c r="J806" s="89"/>
      <c r="K806" s="89"/>
    </row>
    <row r="807" spans="1:11" x14ac:dyDescent="0.3">
      <c r="A807" s="89"/>
      <c r="B807" s="89"/>
      <c r="C807" s="89">
        <v>46</v>
      </c>
      <c r="D807" s="89">
        <v>2404065</v>
      </c>
      <c r="E807" s="89" t="s">
        <v>20</v>
      </c>
      <c r="F807" s="89">
        <v>7.0599999999999996E-2</v>
      </c>
      <c r="G807" s="89">
        <v>0.9294</v>
      </c>
      <c r="H807" s="89" t="s">
        <v>38</v>
      </c>
      <c r="I807" s="89" t="b">
        <v>0</v>
      </c>
      <c r="J807" s="89"/>
      <c r="K807" s="89"/>
    </row>
    <row r="808" spans="1:11" x14ac:dyDescent="0.3">
      <c r="A808" s="89"/>
      <c r="B808" s="89"/>
      <c r="C808" s="89">
        <v>59</v>
      </c>
      <c r="D808" s="89">
        <v>1706072</v>
      </c>
      <c r="E808" s="89" t="s">
        <v>20</v>
      </c>
      <c r="F808" s="89">
        <v>7.0099999999999996E-2</v>
      </c>
      <c r="G808" s="89">
        <v>0.92989999999999995</v>
      </c>
      <c r="H808" s="89" t="s">
        <v>31</v>
      </c>
      <c r="I808" s="89" t="b">
        <v>0</v>
      </c>
      <c r="J808" s="89"/>
      <c r="K808" s="89"/>
    </row>
    <row r="809" spans="1:11" x14ac:dyDescent="0.3">
      <c r="A809" s="89"/>
      <c r="B809" s="89"/>
      <c r="C809" s="89">
        <v>297</v>
      </c>
      <c r="D809" s="89">
        <v>2303377</v>
      </c>
      <c r="E809" s="89" t="s">
        <v>20</v>
      </c>
      <c r="F809" s="89">
        <v>6.9500000000000006E-2</v>
      </c>
      <c r="G809" s="89">
        <v>0.93049999999999999</v>
      </c>
      <c r="H809" s="89" t="s">
        <v>38</v>
      </c>
      <c r="I809" s="89" t="b">
        <v>0</v>
      </c>
      <c r="J809" s="89"/>
      <c r="K809" s="89"/>
    </row>
    <row r="810" spans="1:11" x14ac:dyDescent="0.3">
      <c r="A810" s="89"/>
      <c r="B810" s="89"/>
      <c r="C810" s="89">
        <v>9</v>
      </c>
      <c r="D810" s="89">
        <v>1705010</v>
      </c>
      <c r="E810" s="89" t="s">
        <v>20</v>
      </c>
      <c r="F810" s="89">
        <v>6.9400000000000003E-2</v>
      </c>
      <c r="G810" s="89">
        <v>0.93059999999999998</v>
      </c>
      <c r="H810" s="89" t="s">
        <v>31</v>
      </c>
      <c r="I810" s="89" t="b">
        <v>0</v>
      </c>
      <c r="J810" s="89"/>
      <c r="K810" s="89"/>
    </row>
    <row r="811" spans="1:11" x14ac:dyDescent="0.3">
      <c r="A811" s="89"/>
      <c r="B811" s="89"/>
      <c r="C811" s="89">
        <v>51</v>
      </c>
      <c r="D811" s="89">
        <v>2404071</v>
      </c>
      <c r="E811" s="89" t="s">
        <v>20</v>
      </c>
      <c r="F811" s="89">
        <v>6.9199999999999998E-2</v>
      </c>
      <c r="G811" s="89">
        <v>0.93079999999999996</v>
      </c>
      <c r="H811" s="89" t="s">
        <v>41</v>
      </c>
      <c r="I811" s="89" t="b">
        <v>0</v>
      </c>
      <c r="J811" s="89"/>
      <c r="K811" s="89"/>
    </row>
    <row r="812" spans="1:11" x14ac:dyDescent="0.3">
      <c r="A812" s="89"/>
      <c r="B812" s="89"/>
      <c r="C812" s="89">
        <v>29</v>
      </c>
      <c r="D812" s="89">
        <v>2401042</v>
      </c>
      <c r="E812" s="89" t="s">
        <v>20</v>
      </c>
      <c r="F812" s="89">
        <v>6.8699999999999997E-2</v>
      </c>
      <c r="G812" s="89">
        <v>0.93130000000000002</v>
      </c>
      <c r="H812" s="89" t="s">
        <v>47</v>
      </c>
      <c r="I812" s="89" t="b">
        <v>0</v>
      </c>
      <c r="J812" s="89"/>
      <c r="K812" s="89"/>
    </row>
    <row r="813" spans="1:11" x14ac:dyDescent="0.3">
      <c r="A813" s="89"/>
      <c r="B813" s="89"/>
      <c r="C813" s="89">
        <v>18</v>
      </c>
      <c r="D813" s="89">
        <v>2303023</v>
      </c>
      <c r="E813" s="89" t="s">
        <v>20</v>
      </c>
      <c r="F813" s="89">
        <v>6.8000000000000005E-2</v>
      </c>
      <c r="G813" s="89">
        <v>0.93200000000000005</v>
      </c>
      <c r="H813" s="89" t="s">
        <v>31</v>
      </c>
      <c r="I813" s="89" t="b">
        <v>0</v>
      </c>
      <c r="J813" s="89"/>
      <c r="K813" s="89"/>
    </row>
    <row r="814" spans="1:11" x14ac:dyDescent="0.3">
      <c r="A814" s="89"/>
      <c r="B814" s="89"/>
      <c r="C814" s="89">
        <v>242</v>
      </c>
      <c r="D814" s="89">
        <v>1705301</v>
      </c>
      <c r="E814" s="89" t="s">
        <v>20</v>
      </c>
      <c r="F814" s="89">
        <v>6.7799999999999999E-2</v>
      </c>
      <c r="G814" s="89">
        <v>0.93220000000000003</v>
      </c>
      <c r="H814" s="89" t="s">
        <v>31</v>
      </c>
      <c r="I814" s="89" t="b">
        <v>0</v>
      </c>
      <c r="J814" s="89"/>
      <c r="K814" s="89"/>
    </row>
    <row r="815" spans="1:11" x14ac:dyDescent="0.3">
      <c r="A815" s="89"/>
      <c r="B815" s="89"/>
      <c r="C815" s="89">
        <v>112</v>
      </c>
      <c r="D815" s="89">
        <v>2303147</v>
      </c>
      <c r="E815" s="89" t="s">
        <v>20</v>
      </c>
      <c r="F815" s="89">
        <v>6.7299999999999999E-2</v>
      </c>
      <c r="G815" s="89">
        <v>0.93269999999999997</v>
      </c>
      <c r="H815" s="89" t="s">
        <v>38</v>
      </c>
      <c r="I815" s="89" t="b">
        <v>0</v>
      </c>
      <c r="J815" s="89"/>
      <c r="K815" s="89"/>
    </row>
    <row r="816" spans="1:11" x14ac:dyDescent="0.3">
      <c r="A816" s="89"/>
      <c r="B816" s="89"/>
      <c r="C816" s="89">
        <v>45</v>
      </c>
      <c r="D816" s="89">
        <v>2401059</v>
      </c>
      <c r="E816" s="89" t="s">
        <v>20</v>
      </c>
      <c r="F816" s="89">
        <v>6.6299999999999998E-2</v>
      </c>
      <c r="G816" s="89">
        <v>0.93369999999999997</v>
      </c>
      <c r="H816" s="89" t="s">
        <v>31</v>
      </c>
      <c r="I816" s="89" t="b">
        <v>0</v>
      </c>
      <c r="J816" s="89"/>
      <c r="K816" s="89"/>
    </row>
    <row r="817" spans="1:11" x14ac:dyDescent="0.3">
      <c r="A817" s="89"/>
      <c r="B817" s="89"/>
      <c r="C817" s="89">
        <v>56</v>
      </c>
      <c r="D817" s="89">
        <v>1706069</v>
      </c>
      <c r="E817" s="89" t="s">
        <v>20</v>
      </c>
      <c r="F817" s="89">
        <v>6.6100000000000006E-2</v>
      </c>
      <c r="G817" s="89">
        <v>0.93389999999999995</v>
      </c>
      <c r="H817" s="89" t="s">
        <v>31</v>
      </c>
      <c r="I817" s="89" t="b">
        <v>0</v>
      </c>
      <c r="J817" s="89"/>
      <c r="K817" s="89"/>
    </row>
    <row r="818" spans="1:11" x14ac:dyDescent="0.3">
      <c r="A818" s="89"/>
      <c r="B818" s="89"/>
      <c r="C818" s="89">
        <v>271</v>
      </c>
      <c r="D818" s="89">
        <v>2303349</v>
      </c>
      <c r="E818" s="89" t="s">
        <v>20</v>
      </c>
      <c r="F818" s="89">
        <v>6.5799999999999997E-2</v>
      </c>
      <c r="G818" s="89">
        <v>0.93420000000000003</v>
      </c>
      <c r="H818" s="89" t="s">
        <v>31</v>
      </c>
      <c r="I818" s="89" t="b">
        <v>0</v>
      </c>
      <c r="J818" s="89"/>
      <c r="K818" s="89"/>
    </row>
    <row r="819" spans="1:11" x14ac:dyDescent="0.3">
      <c r="A819" s="89"/>
      <c r="B819" s="89"/>
      <c r="C819" s="89">
        <v>253</v>
      </c>
      <c r="D819" s="89">
        <v>1706324</v>
      </c>
      <c r="E819" s="89" t="s">
        <v>20</v>
      </c>
      <c r="F819" s="89">
        <v>6.5500000000000003E-2</v>
      </c>
      <c r="G819" s="89">
        <v>0.9345</v>
      </c>
      <c r="H819" s="89" t="s">
        <v>38</v>
      </c>
      <c r="I819" s="89" t="b">
        <v>0</v>
      </c>
      <c r="J819" s="89"/>
      <c r="K819" s="89"/>
    </row>
    <row r="820" spans="1:11" x14ac:dyDescent="0.3">
      <c r="A820" s="89"/>
      <c r="B820" s="89"/>
      <c r="C820" s="89">
        <v>29</v>
      </c>
      <c r="D820" s="89">
        <v>2303038</v>
      </c>
      <c r="E820" s="89" t="s">
        <v>20</v>
      </c>
      <c r="F820" s="89">
        <v>6.5299999999999997E-2</v>
      </c>
      <c r="G820" s="89">
        <v>0.93469999999999998</v>
      </c>
      <c r="H820" s="89" t="s">
        <v>31</v>
      </c>
      <c r="I820" s="89" t="b">
        <v>0</v>
      </c>
      <c r="J820" s="89"/>
      <c r="K820" s="89"/>
    </row>
    <row r="821" spans="1:11" x14ac:dyDescent="0.3">
      <c r="A821" s="89"/>
      <c r="B821" s="89"/>
      <c r="C821" s="89">
        <v>61</v>
      </c>
      <c r="D821" s="89">
        <v>1705069</v>
      </c>
      <c r="E821" s="89" t="s">
        <v>20</v>
      </c>
      <c r="F821" s="89">
        <v>6.4199999999999993E-2</v>
      </c>
      <c r="G821" s="89">
        <v>0.93579999999999997</v>
      </c>
      <c r="H821" s="89" t="s">
        <v>31</v>
      </c>
      <c r="I821" s="89" t="b">
        <v>0</v>
      </c>
      <c r="J821" s="89"/>
      <c r="K821" s="89"/>
    </row>
    <row r="822" spans="1:11" x14ac:dyDescent="0.3">
      <c r="A822" s="89"/>
      <c r="B822" s="89"/>
      <c r="C822" s="89">
        <v>107</v>
      </c>
      <c r="D822" s="89">
        <v>2401136</v>
      </c>
      <c r="E822" s="89" t="s">
        <v>20</v>
      </c>
      <c r="F822" s="89">
        <v>6.4199999999999993E-2</v>
      </c>
      <c r="G822" s="89">
        <v>0.93579999999999997</v>
      </c>
      <c r="H822" s="89" t="s">
        <v>45</v>
      </c>
      <c r="I822" s="89" t="b">
        <v>0</v>
      </c>
      <c r="J822" s="89"/>
      <c r="K822" s="89"/>
    </row>
    <row r="823" spans="1:11" x14ac:dyDescent="0.3">
      <c r="A823" s="89"/>
      <c r="B823" s="89"/>
      <c r="C823" s="89">
        <v>13</v>
      </c>
      <c r="D823" s="89">
        <v>1705014</v>
      </c>
      <c r="E823" s="89" t="s">
        <v>20</v>
      </c>
      <c r="F823" s="89">
        <v>6.4100000000000004E-2</v>
      </c>
      <c r="G823" s="89">
        <v>0.93589999999999995</v>
      </c>
      <c r="H823" s="89" t="s">
        <v>31</v>
      </c>
      <c r="I823" s="89" t="b">
        <v>0</v>
      </c>
      <c r="J823" s="89"/>
      <c r="K823" s="89"/>
    </row>
    <row r="824" spans="1:11" x14ac:dyDescent="0.3">
      <c r="A824" s="89"/>
      <c r="B824" s="89"/>
      <c r="C824" s="89">
        <v>80</v>
      </c>
      <c r="D824" s="89">
        <v>2303101</v>
      </c>
      <c r="E824" s="89" t="s">
        <v>20</v>
      </c>
      <c r="F824" s="89">
        <v>6.3799999999999996E-2</v>
      </c>
      <c r="G824" s="89">
        <v>0.93620000000000003</v>
      </c>
      <c r="H824" s="89" t="s">
        <v>38</v>
      </c>
      <c r="I824" s="89" t="b">
        <v>0</v>
      </c>
      <c r="J824" s="89"/>
      <c r="K824" s="89"/>
    </row>
    <row r="825" spans="1:11" x14ac:dyDescent="0.3">
      <c r="A825" s="89"/>
      <c r="B825" s="89"/>
      <c r="C825" s="89">
        <v>104</v>
      </c>
      <c r="D825" s="89">
        <v>1705122</v>
      </c>
      <c r="E825" s="89" t="s">
        <v>20</v>
      </c>
      <c r="F825" s="89">
        <v>6.3299999999999995E-2</v>
      </c>
      <c r="G825" s="89">
        <v>0.93669999999999998</v>
      </c>
      <c r="H825" s="89" t="s">
        <v>31</v>
      </c>
      <c r="I825" s="89" t="b">
        <v>0</v>
      </c>
      <c r="J825" s="89"/>
      <c r="K825" s="89"/>
    </row>
    <row r="826" spans="1:11" x14ac:dyDescent="0.3">
      <c r="A826" s="89"/>
      <c r="B826" s="89"/>
      <c r="C826" s="89">
        <v>58</v>
      </c>
      <c r="D826" s="89">
        <v>2303069</v>
      </c>
      <c r="E826" s="89" t="s">
        <v>20</v>
      </c>
      <c r="F826" s="89">
        <v>6.2700000000000006E-2</v>
      </c>
      <c r="G826" s="89">
        <v>0.93730000000000002</v>
      </c>
      <c r="H826" s="89" t="s">
        <v>38</v>
      </c>
      <c r="I826" s="89" t="b">
        <v>0</v>
      </c>
      <c r="J826" s="89"/>
      <c r="K826" s="89"/>
    </row>
    <row r="827" spans="1:11" x14ac:dyDescent="0.3">
      <c r="A827" s="89"/>
      <c r="B827" s="89"/>
      <c r="C827" s="89">
        <v>50</v>
      </c>
      <c r="D827" s="89">
        <v>1706063</v>
      </c>
      <c r="E827" s="89" t="s">
        <v>20</v>
      </c>
      <c r="F827" s="89">
        <v>6.2300000000000001E-2</v>
      </c>
      <c r="G827" s="89">
        <v>0.93769999999999998</v>
      </c>
      <c r="H827" s="89" t="s">
        <v>38</v>
      </c>
      <c r="I827" s="89" t="b">
        <v>0</v>
      </c>
      <c r="J827" s="89"/>
      <c r="K827" s="89"/>
    </row>
    <row r="828" spans="1:11" x14ac:dyDescent="0.3">
      <c r="A828" s="89"/>
      <c r="B828" s="89"/>
      <c r="C828" s="89">
        <v>94</v>
      </c>
      <c r="D828" s="89">
        <v>2404133</v>
      </c>
      <c r="E828" s="89" t="s">
        <v>20</v>
      </c>
      <c r="F828" s="89">
        <v>6.2300000000000001E-2</v>
      </c>
      <c r="G828" s="89">
        <v>0.93769999999999998</v>
      </c>
      <c r="H828" s="89" t="s">
        <v>26</v>
      </c>
      <c r="I828" s="89" t="b">
        <v>0</v>
      </c>
      <c r="J828" s="89"/>
      <c r="K828" s="89"/>
    </row>
    <row r="829" spans="1:11" x14ac:dyDescent="0.3">
      <c r="A829" s="89"/>
      <c r="B829" s="89"/>
      <c r="C829" s="89">
        <v>301</v>
      </c>
      <c r="D829" s="89">
        <v>1705408</v>
      </c>
      <c r="E829" s="89" t="s">
        <v>20</v>
      </c>
      <c r="F829" s="89">
        <v>6.2E-2</v>
      </c>
      <c r="G829" s="89">
        <v>0.93799999999999994</v>
      </c>
      <c r="H829" s="89" t="s">
        <v>31</v>
      </c>
      <c r="I829" s="89" t="b">
        <v>0</v>
      </c>
      <c r="J829" s="89"/>
      <c r="K829" s="89"/>
    </row>
    <row r="830" spans="1:11" x14ac:dyDescent="0.3">
      <c r="A830" s="89"/>
      <c r="B830" s="89"/>
      <c r="C830" s="89">
        <v>157</v>
      </c>
      <c r="D830" s="89">
        <v>2303212</v>
      </c>
      <c r="E830" s="89" t="s">
        <v>20</v>
      </c>
      <c r="F830" s="89">
        <v>6.1899999999999997E-2</v>
      </c>
      <c r="G830" s="89">
        <v>0.93810000000000004</v>
      </c>
      <c r="H830" s="89" t="s">
        <v>31</v>
      </c>
      <c r="I830" s="89" t="b">
        <v>0</v>
      </c>
      <c r="J830" s="89"/>
      <c r="K830" s="89"/>
    </row>
    <row r="831" spans="1:11" x14ac:dyDescent="0.3">
      <c r="A831" s="89"/>
      <c r="B831" s="89"/>
      <c r="C831" s="89">
        <v>131</v>
      </c>
      <c r="D831" s="89">
        <v>1705154</v>
      </c>
      <c r="E831" s="89" t="s">
        <v>20</v>
      </c>
      <c r="F831" s="89">
        <v>6.1499999999999999E-2</v>
      </c>
      <c r="G831" s="89">
        <v>0.9385</v>
      </c>
      <c r="H831" s="89" t="s">
        <v>31</v>
      </c>
      <c r="I831" s="89" t="b">
        <v>0</v>
      </c>
      <c r="J831" s="89"/>
      <c r="K831" s="89"/>
    </row>
    <row r="832" spans="1:11" x14ac:dyDescent="0.3">
      <c r="A832" s="89"/>
      <c r="B832" s="89"/>
      <c r="C832" s="89">
        <v>24</v>
      </c>
      <c r="D832" s="89">
        <v>1705025</v>
      </c>
      <c r="E832" s="89" t="s">
        <v>20</v>
      </c>
      <c r="F832" s="89">
        <v>6.1100000000000002E-2</v>
      </c>
      <c r="G832" s="89">
        <v>0.93889999999999996</v>
      </c>
      <c r="H832" s="89" t="s">
        <v>31</v>
      </c>
      <c r="I832" s="89" t="b">
        <v>0</v>
      </c>
      <c r="J832" s="89"/>
      <c r="K832" s="89"/>
    </row>
    <row r="833" spans="1:11" x14ac:dyDescent="0.3">
      <c r="A833" s="89"/>
      <c r="B833" s="89"/>
      <c r="C833" s="89">
        <v>21</v>
      </c>
      <c r="D833" s="89">
        <v>2303027</v>
      </c>
      <c r="E833" s="89" t="s">
        <v>20</v>
      </c>
      <c r="F833" s="89">
        <v>6.0900000000000003E-2</v>
      </c>
      <c r="G833" s="89">
        <v>0.93910000000000005</v>
      </c>
      <c r="H833" s="89" t="s">
        <v>31</v>
      </c>
      <c r="I833" s="89" t="b">
        <v>0</v>
      </c>
      <c r="J833" s="89"/>
      <c r="K833" s="89"/>
    </row>
    <row r="834" spans="1:11" x14ac:dyDescent="0.3">
      <c r="A834" s="89"/>
      <c r="B834" s="89"/>
      <c r="C834" s="89">
        <v>86</v>
      </c>
      <c r="D834" s="89">
        <v>2404120</v>
      </c>
      <c r="E834" s="89" t="s">
        <v>20</v>
      </c>
      <c r="F834" s="89">
        <v>6.08E-2</v>
      </c>
      <c r="G834" s="89">
        <v>0.93920000000000003</v>
      </c>
      <c r="H834" s="89" t="s">
        <v>38</v>
      </c>
      <c r="I834" s="89" t="b">
        <v>0</v>
      </c>
      <c r="J834" s="89"/>
      <c r="K834" s="89"/>
    </row>
    <row r="835" spans="1:11" x14ac:dyDescent="0.3">
      <c r="A835" s="89"/>
      <c r="B835" s="89"/>
      <c r="C835" s="89">
        <v>176</v>
      </c>
      <c r="D835" s="89">
        <v>2303233</v>
      </c>
      <c r="E835" s="89" t="s">
        <v>20</v>
      </c>
      <c r="F835" s="89">
        <v>6.0299999999999999E-2</v>
      </c>
      <c r="G835" s="89">
        <v>0.93969999999999998</v>
      </c>
      <c r="H835" s="89" t="s">
        <v>45</v>
      </c>
      <c r="I835" s="89" t="b">
        <v>0</v>
      </c>
      <c r="J835" s="89"/>
      <c r="K835" s="89"/>
    </row>
    <row r="836" spans="1:11" x14ac:dyDescent="0.3">
      <c r="A836" s="89"/>
      <c r="B836" s="89"/>
      <c r="C836" s="89">
        <v>83</v>
      </c>
      <c r="D836" s="89">
        <v>1705098</v>
      </c>
      <c r="E836" s="89" t="s">
        <v>20</v>
      </c>
      <c r="F836" s="89">
        <v>6.0199999999999997E-2</v>
      </c>
      <c r="G836" s="89">
        <v>0.93979999999999997</v>
      </c>
      <c r="H836" s="89" t="s">
        <v>38</v>
      </c>
      <c r="I836" s="89" t="b">
        <v>0</v>
      </c>
      <c r="J836" s="89"/>
      <c r="K836" s="89"/>
    </row>
    <row r="837" spans="1:11" x14ac:dyDescent="0.3">
      <c r="A837" s="89"/>
      <c r="B837" s="89"/>
      <c r="C837" s="89">
        <v>71</v>
      </c>
      <c r="D837" s="89">
        <v>1705084</v>
      </c>
      <c r="E837" s="89" t="s">
        <v>20</v>
      </c>
      <c r="F837" s="89">
        <v>5.9799999999999999E-2</v>
      </c>
      <c r="G837" s="89">
        <v>0.94020000000000004</v>
      </c>
      <c r="H837" s="89" t="s">
        <v>45</v>
      </c>
      <c r="I837" s="89" t="b">
        <v>0</v>
      </c>
      <c r="J837" s="89"/>
      <c r="K837" s="89"/>
    </row>
    <row r="838" spans="1:11" x14ac:dyDescent="0.3">
      <c r="A838" s="89"/>
      <c r="B838" s="89"/>
      <c r="C838" s="89">
        <v>61</v>
      </c>
      <c r="D838" s="89">
        <v>2401077</v>
      </c>
      <c r="E838" s="89" t="s">
        <v>20</v>
      </c>
      <c r="F838" s="89">
        <v>5.9799999999999999E-2</v>
      </c>
      <c r="G838" s="89">
        <v>0.94020000000000004</v>
      </c>
      <c r="H838" s="89" t="s">
        <v>52</v>
      </c>
      <c r="I838" s="89" t="b">
        <v>0</v>
      </c>
      <c r="J838" s="89"/>
      <c r="K838" s="89"/>
    </row>
    <row r="839" spans="1:11" x14ac:dyDescent="0.3">
      <c r="A839" s="89"/>
      <c r="B839" s="89"/>
      <c r="C839" s="89">
        <v>96</v>
      </c>
      <c r="D839" s="89">
        <v>2303124</v>
      </c>
      <c r="E839" s="89" t="s">
        <v>20</v>
      </c>
      <c r="F839" s="89">
        <v>5.96E-2</v>
      </c>
      <c r="G839" s="89">
        <v>0.94040000000000001</v>
      </c>
      <c r="H839" s="89" t="s">
        <v>38</v>
      </c>
      <c r="I839" s="89" t="b">
        <v>0</v>
      </c>
      <c r="J839" s="89"/>
      <c r="K839" s="89"/>
    </row>
    <row r="840" spans="1:11" x14ac:dyDescent="0.3">
      <c r="A840" s="89"/>
      <c r="B840" s="89"/>
      <c r="C840" s="89">
        <v>111</v>
      </c>
      <c r="D840" s="89">
        <v>2404150</v>
      </c>
      <c r="E840" s="89" t="s">
        <v>20</v>
      </c>
      <c r="F840" s="89">
        <v>5.9499999999999997E-2</v>
      </c>
      <c r="G840" s="89">
        <v>0.9405</v>
      </c>
      <c r="H840" s="89" t="s">
        <v>38</v>
      </c>
      <c r="I840" s="89" t="b">
        <v>0</v>
      </c>
      <c r="J840" s="89"/>
      <c r="K840" s="89"/>
    </row>
    <row r="841" spans="1:11" x14ac:dyDescent="0.3">
      <c r="A841" s="89"/>
      <c r="B841" s="89"/>
      <c r="C841" s="89">
        <v>82</v>
      </c>
      <c r="D841" s="89">
        <v>2303108</v>
      </c>
      <c r="E841" s="89" t="s">
        <v>20</v>
      </c>
      <c r="F841" s="89">
        <v>5.91E-2</v>
      </c>
      <c r="G841" s="89">
        <v>0.94089999999999996</v>
      </c>
      <c r="H841" s="89" t="s">
        <v>38</v>
      </c>
      <c r="I841" s="89" t="b">
        <v>0</v>
      </c>
      <c r="J841" s="89"/>
      <c r="K841" s="89"/>
    </row>
    <row r="842" spans="1:11" x14ac:dyDescent="0.3">
      <c r="A842" s="89"/>
      <c r="B842" s="89"/>
      <c r="C842" s="89">
        <v>66</v>
      </c>
      <c r="D842" s="89">
        <v>1706083</v>
      </c>
      <c r="E842" s="89" t="s">
        <v>20</v>
      </c>
      <c r="F842" s="89">
        <v>5.8999999999999997E-2</v>
      </c>
      <c r="G842" s="89">
        <v>0.94099999999999995</v>
      </c>
      <c r="H842" s="89" t="s">
        <v>38</v>
      </c>
      <c r="I842" s="89" t="b">
        <v>0</v>
      </c>
      <c r="J842" s="89"/>
      <c r="K842" s="89"/>
    </row>
    <row r="843" spans="1:11" x14ac:dyDescent="0.3">
      <c r="A843" s="89"/>
      <c r="B843" s="89"/>
      <c r="C843" s="89">
        <v>266</v>
      </c>
      <c r="D843" s="89">
        <v>1705336</v>
      </c>
      <c r="E843" s="89" t="s">
        <v>20</v>
      </c>
      <c r="F843" s="89">
        <v>5.8900000000000001E-2</v>
      </c>
      <c r="G843" s="89">
        <v>0.94110000000000005</v>
      </c>
      <c r="H843" s="89" t="s">
        <v>31</v>
      </c>
      <c r="I843" s="89" t="b">
        <v>0</v>
      </c>
      <c r="J843" s="89"/>
      <c r="K843" s="89"/>
    </row>
    <row r="844" spans="1:11" x14ac:dyDescent="0.3">
      <c r="A844" s="89"/>
      <c r="B844" s="89"/>
      <c r="C844" s="89">
        <v>122</v>
      </c>
      <c r="D844" s="89">
        <v>2303161</v>
      </c>
      <c r="E844" s="89" t="s">
        <v>20</v>
      </c>
      <c r="F844" s="89">
        <v>5.8799999999999998E-2</v>
      </c>
      <c r="G844" s="89">
        <v>0.94120000000000004</v>
      </c>
      <c r="H844" s="89" t="s">
        <v>38</v>
      </c>
      <c r="I844" s="89" t="b">
        <v>0</v>
      </c>
      <c r="J844" s="89"/>
      <c r="K844" s="89"/>
    </row>
    <row r="845" spans="1:11" x14ac:dyDescent="0.3">
      <c r="A845" s="89"/>
      <c r="B845" s="89"/>
      <c r="C845" s="89">
        <v>90</v>
      </c>
      <c r="D845" s="89">
        <v>2303116</v>
      </c>
      <c r="E845" s="89" t="s">
        <v>20</v>
      </c>
      <c r="F845" s="89">
        <v>5.8400000000000001E-2</v>
      </c>
      <c r="G845" s="89">
        <v>0.94159999999999999</v>
      </c>
      <c r="H845" s="89" t="s">
        <v>38</v>
      </c>
      <c r="I845" s="89" t="b">
        <v>0</v>
      </c>
      <c r="J845" s="89"/>
      <c r="K845" s="89"/>
    </row>
    <row r="846" spans="1:11" x14ac:dyDescent="0.3">
      <c r="A846" s="89"/>
      <c r="B846" s="89"/>
      <c r="C846" s="89">
        <v>12</v>
      </c>
      <c r="D846" s="89">
        <v>2303015</v>
      </c>
      <c r="E846" s="89" t="s">
        <v>20</v>
      </c>
      <c r="F846" s="89">
        <v>5.7700000000000001E-2</v>
      </c>
      <c r="G846" s="89">
        <v>0.94230000000000003</v>
      </c>
      <c r="H846" s="89" t="s">
        <v>38</v>
      </c>
      <c r="I846" s="89" t="b">
        <v>0</v>
      </c>
      <c r="J846" s="89"/>
      <c r="K846" s="89"/>
    </row>
    <row r="847" spans="1:11" x14ac:dyDescent="0.3">
      <c r="A847" s="89"/>
      <c r="B847" s="89"/>
      <c r="C847" s="89">
        <v>248</v>
      </c>
      <c r="D847" s="89">
        <v>1706314</v>
      </c>
      <c r="E847" s="89" t="s">
        <v>20</v>
      </c>
      <c r="F847" s="89">
        <v>5.7500000000000002E-2</v>
      </c>
      <c r="G847" s="89">
        <v>0.9425</v>
      </c>
      <c r="H847" s="89" t="s">
        <v>38</v>
      </c>
      <c r="I847" s="89" t="b">
        <v>0</v>
      </c>
      <c r="J847" s="89"/>
      <c r="K847" s="89"/>
    </row>
    <row r="848" spans="1:11" x14ac:dyDescent="0.3">
      <c r="A848" s="89"/>
      <c r="B848" s="89"/>
      <c r="C848" s="89">
        <v>34</v>
      </c>
      <c r="D848" s="89">
        <v>2303043</v>
      </c>
      <c r="E848" s="89" t="s">
        <v>20</v>
      </c>
      <c r="F848" s="89">
        <v>5.6899999999999999E-2</v>
      </c>
      <c r="G848" s="89">
        <v>0.94310000000000005</v>
      </c>
      <c r="H848" s="89" t="s">
        <v>33</v>
      </c>
      <c r="I848" s="89" t="b">
        <v>0</v>
      </c>
      <c r="J848" s="89"/>
      <c r="K848" s="89"/>
    </row>
    <row r="849" spans="1:11" x14ac:dyDescent="0.3">
      <c r="A849" s="89"/>
      <c r="B849" s="89"/>
      <c r="C849" s="89">
        <v>101</v>
      </c>
      <c r="D849" s="89">
        <v>1706123</v>
      </c>
      <c r="E849" s="89" t="s">
        <v>20</v>
      </c>
      <c r="F849" s="89">
        <v>5.67E-2</v>
      </c>
      <c r="G849" s="89">
        <v>0.94330000000000003</v>
      </c>
      <c r="H849" s="89" t="s">
        <v>38</v>
      </c>
      <c r="I849" s="89" t="b">
        <v>0</v>
      </c>
      <c r="J849" s="89"/>
      <c r="K849" s="89"/>
    </row>
    <row r="850" spans="1:11" x14ac:dyDescent="0.3">
      <c r="A850" s="89"/>
      <c r="B850" s="89"/>
      <c r="C850" s="89">
        <v>128</v>
      </c>
      <c r="D850" s="89">
        <v>2303169</v>
      </c>
      <c r="E850" s="89" t="s">
        <v>20</v>
      </c>
      <c r="F850" s="89">
        <v>5.67E-2</v>
      </c>
      <c r="G850" s="89">
        <v>0.94330000000000003</v>
      </c>
      <c r="H850" s="89" t="s">
        <v>38</v>
      </c>
      <c r="I850" s="89" t="b">
        <v>0</v>
      </c>
      <c r="J850" s="89"/>
      <c r="K850" s="89"/>
    </row>
    <row r="851" spans="1:11" x14ac:dyDescent="0.3">
      <c r="A851" s="89"/>
      <c r="B851" s="89"/>
      <c r="C851" s="89">
        <v>95</v>
      </c>
      <c r="D851" s="89">
        <v>1705112</v>
      </c>
      <c r="E851" s="89" t="s">
        <v>20</v>
      </c>
      <c r="F851" s="89">
        <v>5.6099999999999997E-2</v>
      </c>
      <c r="G851" s="89">
        <v>0.94389999999999996</v>
      </c>
      <c r="H851" s="89" t="s">
        <v>38</v>
      </c>
      <c r="I851" s="89" t="b">
        <v>0</v>
      </c>
      <c r="J851" s="89"/>
      <c r="K851" s="89"/>
    </row>
    <row r="852" spans="1:11" x14ac:dyDescent="0.3">
      <c r="A852" s="89"/>
      <c r="B852" s="89"/>
      <c r="C852" s="89">
        <v>168</v>
      </c>
      <c r="D852" s="89">
        <v>1705202</v>
      </c>
      <c r="E852" s="89" t="s">
        <v>20</v>
      </c>
      <c r="F852" s="89">
        <v>5.6000000000000001E-2</v>
      </c>
      <c r="G852" s="89">
        <v>0.94399999999999995</v>
      </c>
      <c r="H852" s="89" t="s">
        <v>31</v>
      </c>
      <c r="I852" s="89" t="b">
        <v>0</v>
      </c>
      <c r="J852" s="89"/>
      <c r="K852" s="89"/>
    </row>
    <row r="853" spans="1:11" x14ac:dyDescent="0.3">
      <c r="A853" s="89"/>
      <c r="B853" s="89"/>
      <c r="C853" s="89">
        <v>293</v>
      </c>
      <c r="D853" s="89">
        <v>1705393</v>
      </c>
      <c r="E853" s="89" t="s">
        <v>20</v>
      </c>
      <c r="F853" s="89">
        <v>5.5899999999999998E-2</v>
      </c>
      <c r="G853" s="89">
        <v>0.94410000000000005</v>
      </c>
      <c r="H853" s="89" t="s">
        <v>31</v>
      </c>
      <c r="I853" s="89" t="b">
        <v>0</v>
      </c>
      <c r="J853" s="89"/>
      <c r="K853" s="89"/>
    </row>
    <row r="854" spans="1:11" x14ac:dyDescent="0.3">
      <c r="A854" s="89"/>
      <c r="B854" s="89"/>
      <c r="C854" s="89">
        <v>166</v>
      </c>
      <c r="D854" s="89">
        <v>1706200</v>
      </c>
      <c r="E854" s="89" t="s">
        <v>20</v>
      </c>
      <c r="F854" s="89">
        <v>5.5899999999999998E-2</v>
      </c>
      <c r="G854" s="89">
        <v>0.94410000000000005</v>
      </c>
      <c r="H854" s="89" t="s">
        <v>38</v>
      </c>
      <c r="I854" s="89" t="b">
        <v>0</v>
      </c>
      <c r="J854" s="89"/>
      <c r="K854" s="89"/>
    </row>
    <row r="855" spans="1:11" x14ac:dyDescent="0.3">
      <c r="A855" s="89"/>
      <c r="B855" s="89"/>
      <c r="C855" s="89">
        <v>75</v>
      </c>
      <c r="D855" s="89">
        <v>2401094</v>
      </c>
      <c r="E855" s="89" t="s">
        <v>20</v>
      </c>
      <c r="F855" s="89">
        <v>5.5800000000000002E-2</v>
      </c>
      <c r="G855" s="89">
        <v>0.94420000000000004</v>
      </c>
      <c r="H855" s="89" t="s">
        <v>31</v>
      </c>
      <c r="I855" s="89" t="b">
        <v>0</v>
      </c>
      <c r="J855" s="89"/>
      <c r="K855" s="89"/>
    </row>
    <row r="856" spans="1:11" x14ac:dyDescent="0.3">
      <c r="A856" s="89"/>
      <c r="B856" s="89"/>
      <c r="C856" s="89">
        <v>168</v>
      </c>
      <c r="D856" s="89">
        <v>1706202</v>
      </c>
      <c r="E856" s="89" t="s">
        <v>20</v>
      </c>
      <c r="F856" s="89">
        <v>5.5500000000000001E-2</v>
      </c>
      <c r="G856" s="89">
        <v>0.94450000000000001</v>
      </c>
      <c r="H856" s="89" t="s">
        <v>38</v>
      </c>
      <c r="I856" s="89" t="b">
        <v>0</v>
      </c>
      <c r="J856" s="89"/>
      <c r="K856" s="89"/>
    </row>
    <row r="857" spans="1:11" x14ac:dyDescent="0.3">
      <c r="A857" s="89"/>
      <c r="B857" s="89"/>
      <c r="C857" s="89">
        <v>48</v>
      </c>
      <c r="D857" s="89">
        <v>2404068</v>
      </c>
      <c r="E857" s="89" t="s">
        <v>20</v>
      </c>
      <c r="F857" s="89">
        <v>5.5500000000000001E-2</v>
      </c>
      <c r="G857" s="89">
        <v>0.94450000000000001</v>
      </c>
      <c r="H857" s="89" t="s">
        <v>33</v>
      </c>
      <c r="I857" s="89" t="b">
        <v>0</v>
      </c>
      <c r="J857" s="89"/>
      <c r="K857" s="89"/>
    </row>
    <row r="858" spans="1:11" x14ac:dyDescent="0.3">
      <c r="A858" s="89"/>
      <c r="B858" s="89"/>
      <c r="C858" s="89">
        <v>292</v>
      </c>
      <c r="D858" s="89">
        <v>1705392</v>
      </c>
      <c r="E858" s="89" t="s">
        <v>20</v>
      </c>
      <c r="F858" s="89">
        <v>5.5399999999999998E-2</v>
      </c>
      <c r="G858" s="89">
        <v>0.9446</v>
      </c>
      <c r="H858" s="89" t="s">
        <v>38</v>
      </c>
      <c r="I858" s="89" t="b">
        <v>0</v>
      </c>
      <c r="J858" s="89"/>
      <c r="K858" s="89"/>
    </row>
    <row r="859" spans="1:11" x14ac:dyDescent="0.3">
      <c r="A859" s="89"/>
      <c r="B859" s="89"/>
      <c r="C859" s="89">
        <v>113</v>
      </c>
      <c r="D859" s="89">
        <v>2401143</v>
      </c>
      <c r="E859" s="89" t="s">
        <v>20</v>
      </c>
      <c r="F859" s="89">
        <v>5.5300000000000002E-2</v>
      </c>
      <c r="G859" s="89">
        <v>0.94469999999999998</v>
      </c>
      <c r="H859" s="89" t="s">
        <v>51</v>
      </c>
      <c r="I859" s="89" t="b">
        <v>0</v>
      </c>
      <c r="J859" s="89"/>
      <c r="K859" s="89"/>
    </row>
    <row r="860" spans="1:11" x14ac:dyDescent="0.3">
      <c r="A860" s="89"/>
      <c r="B860" s="89"/>
      <c r="C860" s="89">
        <v>75</v>
      </c>
      <c r="D860" s="89">
        <v>2404106</v>
      </c>
      <c r="E860" s="89" t="s">
        <v>20</v>
      </c>
      <c r="F860" s="89">
        <v>5.5E-2</v>
      </c>
      <c r="G860" s="89">
        <v>0.94499999999999995</v>
      </c>
      <c r="H860" s="89" t="s">
        <v>45</v>
      </c>
      <c r="I860" s="89" t="b">
        <v>0</v>
      </c>
      <c r="J860" s="89"/>
      <c r="K860" s="89"/>
    </row>
    <row r="861" spans="1:11" x14ac:dyDescent="0.3">
      <c r="A861" s="89"/>
      <c r="B861" s="89"/>
      <c r="C861" s="89">
        <v>15</v>
      </c>
      <c r="D861" s="89">
        <v>2404020</v>
      </c>
      <c r="E861" s="89" t="s">
        <v>20</v>
      </c>
      <c r="F861" s="89">
        <v>5.4899999999999997E-2</v>
      </c>
      <c r="G861" s="89">
        <v>0.94510000000000005</v>
      </c>
      <c r="H861" s="89" t="s">
        <v>41</v>
      </c>
      <c r="I861" s="89" t="b">
        <v>0</v>
      </c>
      <c r="J861" s="89"/>
      <c r="K861" s="89"/>
    </row>
    <row r="862" spans="1:11" x14ac:dyDescent="0.3">
      <c r="A862" s="89"/>
      <c r="B862" s="89"/>
      <c r="C862" s="89">
        <v>105</v>
      </c>
      <c r="D862" s="89">
        <v>2404144</v>
      </c>
      <c r="E862" s="89" t="s">
        <v>20</v>
      </c>
      <c r="F862" s="89">
        <v>5.4399999999999997E-2</v>
      </c>
      <c r="G862" s="89">
        <v>0.9456</v>
      </c>
      <c r="H862" s="89" t="s">
        <v>38</v>
      </c>
      <c r="I862" s="89" t="b">
        <v>0</v>
      </c>
      <c r="J862" s="89"/>
      <c r="K862" s="89"/>
    </row>
    <row r="863" spans="1:11" x14ac:dyDescent="0.3">
      <c r="A863" s="89"/>
      <c r="B863" s="89"/>
      <c r="C863" s="89">
        <v>34</v>
      </c>
      <c r="D863" s="89">
        <v>2404051</v>
      </c>
      <c r="E863" s="89" t="s">
        <v>20</v>
      </c>
      <c r="F863" s="89">
        <v>5.3800000000000001E-2</v>
      </c>
      <c r="G863" s="89">
        <v>0.94620000000000004</v>
      </c>
      <c r="H863" s="89" t="s">
        <v>38</v>
      </c>
      <c r="I863" s="89" t="b">
        <v>0</v>
      </c>
      <c r="J863" s="89"/>
      <c r="K863" s="89"/>
    </row>
    <row r="864" spans="1:11" x14ac:dyDescent="0.3">
      <c r="A864" s="89"/>
      <c r="B864" s="89"/>
      <c r="C864" s="89">
        <v>189</v>
      </c>
      <c r="D864" s="89">
        <v>1705225</v>
      </c>
      <c r="E864" s="89" t="s">
        <v>20</v>
      </c>
      <c r="F864" s="89">
        <v>5.3499999999999999E-2</v>
      </c>
      <c r="G864" s="89">
        <v>0.94650000000000001</v>
      </c>
      <c r="H864" s="89" t="s">
        <v>38</v>
      </c>
      <c r="I864" s="89" t="b">
        <v>0</v>
      </c>
      <c r="J864" s="89"/>
      <c r="K864" s="89"/>
    </row>
    <row r="865" spans="1:11" x14ac:dyDescent="0.3">
      <c r="A865" s="89"/>
      <c r="B865" s="89"/>
      <c r="C865" s="89">
        <v>99</v>
      </c>
      <c r="D865" s="89">
        <v>2401127</v>
      </c>
      <c r="E865" s="89" t="s">
        <v>20</v>
      </c>
      <c r="F865" s="89">
        <v>5.33E-2</v>
      </c>
      <c r="G865" s="89">
        <v>0.94669999999999999</v>
      </c>
      <c r="H865" s="89" t="s">
        <v>31</v>
      </c>
      <c r="I865" s="89" t="b">
        <v>0</v>
      </c>
      <c r="J865" s="89"/>
      <c r="K865" s="89"/>
    </row>
    <row r="866" spans="1:11" x14ac:dyDescent="0.3">
      <c r="A866" s="89"/>
      <c r="B866" s="89"/>
      <c r="C866" s="89">
        <v>103</v>
      </c>
      <c r="D866" s="89">
        <v>2404142</v>
      </c>
      <c r="E866" s="89" t="s">
        <v>20</v>
      </c>
      <c r="F866" s="89">
        <v>5.2999999999999999E-2</v>
      </c>
      <c r="G866" s="89">
        <v>0.94699999999999995</v>
      </c>
      <c r="H866" s="89" t="s">
        <v>33</v>
      </c>
      <c r="I866" s="89" t="b">
        <v>0</v>
      </c>
      <c r="J866" s="89"/>
      <c r="K866" s="89"/>
    </row>
    <row r="867" spans="1:11" x14ac:dyDescent="0.3">
      <c r="A867" s="89"/>
      <c r="B867" s="89"/>
      <c r="C867" s="89">
        <v>88</v>
      </c>
      <c r="D867" s="89">
        <v>2401112</v>
      </c>
      <c r="E867" s="89" t="s">
        <v>20</v>
      </c>
      <c r="F867" s="89">
        <v>5.28E-2</v>
      </c>
      <c r="G867" s="89">
        <v>0.94720000000000004</v>
      </c>
      <c r="H867" s="89" t="s">
        <v>31</v>
      </c>
      <c r="I867" s="89" t="b">
        <v>0</v>
      </c>
      <c r="J867" s="89"/>
      <c r="K867" s="89"/>
    </row>
    <row r="868" spans="1:11" x14ac:dyDescent="0.3">
      <c r="A868" s="89"/>
      <c r="B868" s="89"/>
      <c r="C868" s="89">
        <v>110</v>
      </c>
      <c r="D868" s="89">
        <v>2401139</v>
      </c>
      <c r="E868" s="89" t="s">
        <v>20</v>
      </c>
      <c r="F868" s="89">
        <v>5.28E-2</v>
      </c>
      <c r="G868" s="89">
        <v>0.94720000000000004</v>
      </c>
      <c r="H868" s="89" t="s">
        <v>38</v>
      </c>
      <c r="I868" s="89" t="b">
        <v>0</v>
      </c>
      <c r="J868" s="89"/>
      <c r="K868" s="89"/>
    </row>
    <row r="869" spans="1:11" x14ac:dyDescent="0.3">
      <c r="A869" s="89"/>
      <c r="B869" s="89"/>
      <c r="C869" s="89">
        <v>198</v>
      </c>
      <c r="D869" s="89">
        <v>2303259</v>
      </c>
      <c r="E869" s="89" t="s">
        <v>20</v>
      </c>
      <c r="F869" s="89">
        <v>5.2699999999999997E-2</v>
      </c>
      <c r="G869" s="89">
        <v>0.94730000000000003</v>
      </c>
      <c r="H869" s="89" t="s">
        <v>38</v>
      </c>
      <c r="I869" s="89" t="b">
        <v>0</v>
      </c>
      <c r="J869" s="89"/>
      <c r="K869" s="89"/>
    </row>
    <row r="870" spans="1:11" x14ac:dyDescent="0.3">
      <c r="A870" s="89"/>
      <c r="B870" s="89"/>
      <c r="C870" s="89">
        <v>187</v>
      </c>
      <c r="D870" s="89">
        <v>1705223</v>
      </c>
      <c r="E870" s="89" t="s">
        <v>20</v>
      </c>
      <c r="F870" s="89">
        <v>5.1900000000000002E-2</v>
      </c>
      <c r="G870" s="89">
        <v>0.94810000000000005</v>
      </c>
      <c r="H870" s="89" t="s">
        <v>38</v>
      </c>
      <c r="I870" s="89" t="b">
        <v>0</v>
      </c>
      <c r="J870" s="89"/>
      <c r="K870" s="89"/>
    </row>
    <row r="871" spans="1:11" x14ac:dyDescent="0.3">
      <c r="A871" s="89"/>
      <c r="B871" s="89"/>
      <c r="C871" s="89">
        <v>35</v>
      </c>
      <c r="D871" s="89">
        <v>1705039</v>
      </c>
      <c r="E871" s="89" t="s">
        <v>20</v>
      </c>
      <c r="F871" s="89">
        <v>5.1499999999999997E-2</v>
      </c>
      <c r="G871" s="89">
        <v>0.94850000000000001</v>
      </c>
      <c r="H871" s="89" t="s">
        <v>31</v>
      </c>
      <c r="I871" s="89" t="b">
        <v>0</v>
      </c>
      <c r="J871" s="89"/>
      <c r="K871" s="89"/>
    </row>
    <row r="872" spans="1:11" x14ac:dyDescent="0.3">
      <c r="A872" s="89"/>
      <c r="B872" s="89"/>
      <c r="C872" s="89">
        <v>111</v>
      </c>
      <c r="D872" s="89">
        <v>1705131</v>
      </c>
      <c r="E872" s="89" t="s">
        <v>20</v>
      </c>
      <c r="F872" s="89">
        <v>5.1499999999999997E-2</v>
      </c>
      <c r="G872" s="89">
        <v>0.94850000000000001</v>
      </c>
      <c r="H872" s="89" t="s">
        <v>31</v>
      </c>
      <c r="I872" s="89" t="b">
        <v>0</v>
      </c>
      <c r="J872" s="89"/>
      <c r="K872" s="89"/>
    </row>
    <row r="873" spans="1:11" x14ac:dyDescent="0.3">
      <c r="A873" s="89"/>
      <c r="B873" s="89"/>
      <c r="C873" s="89">
        <v>29</v>
      </c>
      <c r="D873" s="89">
        <v>2404045</v>
      </c>
      <c r="E873" s="89" t="s">
        <v>20</v>
      </c>
      <c r="F873" s="89">
        <v>5.1499999999999997E-2</v>
      </c>
      <c r="G873" s="89">
        <v>0.94850000000000001</v>
      </c>
      <c r="H873" s="89" t="s">
        <v>33</v>
      </c>
      <c r="I873" s="89" t="b">
        <v>0</v>
      </c>
      <c r="J873" s="89"/>
      <c r="K873" s="89"/>
    </row>
    <row r="874" spans="1:11" x14ac:dyDescent="0.3">
      <c r="A874" s="89"/>
      <c r="B874" s="89"/>
      <c r="C874" s="89">
        <v>8</v>
      </c>
      <c r="D874" s="89">
        <v>1706013</v>
      </c>
      <c r="E874" s="89" t="s">
        <v>20</v>
      </c>
      <c r="F874" s="89">
        <v>5.0999999999999997E-2</v>
      </c>
      <c r="G874" s="89">
        <v>0.94899999999999995</v>
      </c>
      <c r="H874" s="89" t="s">
        <v>31</v>
      </c>
      <c r="I874" s="89" t="b">
        <v>0</v>
      </c>
      <c r="J874" s="89"/>
      <c r="K874" s="89"/>
    </row>
    <row r="875" spans="1:11" x14ac:dyDescent="0.3">
      <c r="A875" s="89"/>
      <c r="B875" s="89"/>
      <c r="C875" s="89">
        <v>25</v>
      </c>
      <c r="D875" s="89">
        <v>2401035</v>
      </c>
      <c r="E875" s="89" t="s">
        <v>20</v>
      </c>
      <c r="F875" s="89">
        <v>5.0999999999999997E-2</v>
      </c>
      <c r="G875" s="89">
        <v>0.94899999999999995</v>
      </c>
      <c r="H875" s="89" t="s">
        <v>38</v>
      </c>
      <c r="I875" s="89" t="b">
        <v>0</v>
      </c>
      <c r="J875" s="89"/>
      <c r="K875" s="89"/>
    </row>
    <row r="876" spans="1:11" x14ac:dyDescent="0.3">
      <c r="A876" s="89"/>
      <c r="B876" s="89"/>
      <c r="C876" s="89">
        <v>36</v>
      </c>
      <c r="D876" s="89">
        <v>2404054</v>
      </c>
      <c r="E876" s="89" t="s">
        <v>20</v>
      </c>
      <c r="F876" s="89">
        <v>5.0999999999999997E-2</v>
      </c>
      <c r="G876" s="89">
        <v>0.94899999999999995</v>
      </c>
      <c r="H876" s="89" t="s">
        <v>54</v>
      </c>
      <c r="I876" s="89" t="b">
        <v>0</v>
      </c>
      <c r="J876" s="89"/>
      <c r="K876" s="89"/>
    </row>
    <row r="877" spans="1:11" x14ac:dyDescent="0.3">
      <c r="A877" s="89"/>
      <c r="B877" s="89"/>
      <c r="C877" s="89">
        <v>222</v>
      </c>
      <c r="D877" s="89">
        <v>2303292</v>
      </c>
      <c r="E877" s="89" t="s">
        <v>20</v>
      </c>
      <c r="F877" s="89">
        <v>5.0900000000000001E-2</v>
      </c>
      <c r="G877" s="89">
        <v>0.94910000000000005</v>
      </c>
      <c r="H877" s="89" t="s">
        <v>38</v>
      </c>
      <c r="I877" s="89" t="b">
        <v>0</v>
      </c>
      <c r="J877" s="89"/>
      <c r="K877" s="89"/>
    </row>
    <row r="878" spans="1:11" x14ac:dyDescent="0.3">
      <c r="A878" s="89"/>
      <c r="B878" s="89"/>
      <c r="C878" s="89">
        <v>63</v>
      </c>
      <c r="D878" s="89">
        <v>2401079</v>
      </c>
      <c r="E878" s="89" t="s">
        <v>20</v>
      </c>
      <c r="F878" s="89">
        <v>5.0599999999999999E-2</v>
      </c>
      <c r="G878" s="89">
        <v>0.94940000000000002</v>
      </c>
      <c r="H878" s="89" t="s">
        <v>31</v>
      </c>
      <c r="I878" s="89" t="b">
        <v>0</v>
      </c>
      <c r="J878" s="89"/>
      <c r="K878" s="89"/>
    </row>
    <row r="879" spans="1:11" x14ac:dyDescent="0.3">
      <c r="A879" s="89"/>
      <c r="B879" s="89"/>
      <c r="C879" s="89">
        <v>286</v>
      </c>
      <c r="D879" s="89">
        <v>2303364</v>
      </c>
      <c r="E879" s="89" t="s">
        <v>20</v>
      </c>
      <c r="F879" s="89">
        <v>5.04E-2</v>
      </c>
      <c r="G879" s="89">
        <v>0.9496</v>
      </c>
      <c r="H879" s="89" t="s">
        <v>31</v>
      </c>
      <c r="I879" s="89" t="b">
        <v>0</v>
      </c>
      <c r="J879" s="89"/>
      <c r="K879" s="89"/>
    </row>
    <row r="880" spans="1:11" x14ac:dyDescent="0.3">
      <c r="A880" s="89"/>
      <c r="B880" s="89"/>
      <c r="C880" s="89">
        <v>262</v>
      </c>
      <c r="D880" s="89">
        <v>1706335</v>
      </c>
      <c r="E880" s="89" t="s">
        <v>20</v>
      </c>
      <c r="F880" s="89">
        <v>5.0200000000000002E-2</v>
      </c>
      <c r="G880" s="89">
        <v>0.94979999999999998</v>
      </c>
      <c r="H880" s="89" t="s">
        <v>47</v>
      </c>
      <c r="I880" s="89" t="b">
        <v>0</v>
      </c>
      <c r="J880" s="89"/>
      <c r="K880" s="89"/>
    </row>
    <row r="881" spans="1:11" x14ac:dyDescent="0.3">
      <c r="A881" s="89"/>
      <c r="B881" s="89"/>
      <c r="C881" s="89">
        <v>1</v>
      </c>
      <c r="D881" s="89">
        <v>2401001</v>
      </c>
      <c r="E881" s="89" t="s">
        <v>20</v>
      </c>
      <c r="F881" s="89">
        <v>4.9599999999999998E-2</v>
      </c>
      <c r="G881" s="89">
        <v>0.95040000000000002</v>
      </c>
      <c r="H881" s="89" t="s">
        <v>31</v>
      </c>
      <c r="I881" s="89" t="b">
        <v>0</v>
      </c>
      <c r="J881" s="89"/>
      <c r="K881" s="89"/>
    </row>
    <row r="882" spans="1:11" x14ac:dyDescent="0.3">
      <c r="A882" s="89"/>
      <c r="B882" s="89"/>
      <c r="C882" s="89">
        <v>285</v>
      </c>
      <c r="D882" s="89">
        <v>2303363</v>
      </c>
      <c r="E882" s="89" t="s">
        <v>20</v>
      </c>
      <c r="F882" s="89">
        <v>4.9500000000000002E-2</v>
      </c>
      <c r="G882" s="89">
        <v>0.95050000000000001</v>
      </c>
      <c r="H882" s="89" t="s">
        <v>38</v>
      </c>
      <c r="I882" s="89" t="b">
        <v>0</v>
      </c>
      <c r="J882" s="89"/>
      <c r="K882" s="89"/>
    </row>
    <row r="883" spans="1:11" x14ac:dyDescent="0.3">
      <c r="A883" s="89"/>
      <c r="B883" s="89"/>
      <c r="C883" s="89">
        <v>64</v>
      </c>
      <c r="D883" s="89">
        <v>2401080</v>
      </c>
      <c r="E883" s="89" t="s">
        <v>20</v>
      </c>
      <c r="F883" s="89">
        <v>4.9500000000000002E-2</v>
      </c>
      <c r="G883" s="89">
        <v>0.95050000000000001</v>
      </c>
      <c r="H883" s="89" t="s">
        <v>53</v>
      </c>
      <c r="I883" s="89" t="b">
        <v>0</v>
      </c>
      <c r="J883" s="89"/>
      <c r="K883" s="89"/>
    </row>
    <row r="884" spans="1:11" x14ac:dyDescent="0.3">
      <c r="A884" s="89"/>
      <c r="B884" s="89"/>
      <c r="C884" s="89">
        <v>82</v>
      </c>
      <c r="D884" s="89">
        <v>1706102</v>
      </c>
      <c r="E884" s="89" t="s">
        <v>20</v>
      </c>
      <c r="F884" s="89">
        <v>4.9299999999999997E-2</v>
      </c>
      <c r="G884" s="89">
        <v>0.95069999999999999</v>
      </c>
      <c r="H884" s="89" t="s">
        <v>31</v>
      </c>
      <c r="I884" s="89" t="b">
        <v>0</v>
      </c>
      <c r="J884" s="89"/>
      <c r="K884" s="89"/>
    </row>
    <row r="885" spans="1:11" x14ac:dyDescent="0.3">
      <c r="A885" s="89"/>
      <c r="B885" s="89"/>
      <c r="C885" s="89">
        <v>32</v>
      </c>
      <c r="D885" s="89">
        <v>1705036</v>
      </c>
      <c r="E885" s="89" t="s">
        <v>20</v>
      </c>
      <c r="F885" s="89">
        <v>4.9099999999999998E-2</v>
      </c>
      <c r="G885" s="89">
        <v>0.95089999999999997</v>
      </c>
      <c r="H885" s="89" t="s">
        <v>31</v>
      </c>
      <c r="I885" s="89" t="b">
        <v>0</v>
      </c>
      <c r="J885" s="89"/>
      <c r="K885" s="89"/>
    </row>
    <row r="886" spans="1:11" x14ac:dyDescent="0.3">
      <c r="A886" s="89"/>
      <c r="B886" s="89"/>
      <c r="C886" s="89">
        <v>67</v>
      </c>
      <c r="D886" s="89">
        <v>2404093</v>
      </c>
      <c r="E886" s="89" t="s">
        <v>20</v>
      </c>
      <c r="F886" s="89">
        <v>4.87E-2</v>
      </c>
      <c r="G886" s="89">
        <v>0.95130000000000003</v>
      </c>
      <c r="H886" s="89" t="s">
        <v>31</v>
      </c>
      <c r="I886" s="89" t="b">
        <v>0</v>
      </c>
      <c r="J886" s="89"/>
      <c r="K886" s="89"/>
    </row>
    <row r="887" spans="1:11" x14ac:dyDescent="0.3">
      <c r="A887" s="89"/>
      <c r="B887" s="89"/>
      <c r="C887" s="89">
        <v>181</v>
      </c>
      <c r="D887" s="89">
        <v>2303239</v>
      </c>
      <c r="E887" s="89" t="s">
        <v>20</v>
      </c>
      <c r="F887" s="89">
        <v>4.8500000000000001E-2</v>
      </c>
      <c r="G887" s="89">
        <v>0.95150000000000001</v>
      </c>
      <c r="H887" s="89" t="s">
        <v>38</v>
      </c>
      <c r="I887" s="89" t="b">
        <v>0</v>
      </c>
      <c r="J887" s="89"/>
      <c r="K887" s="89"/>
    </row>
    <row r="888" spans="1:11" x14ac:dyDescent="0.3">
      <c r="A888" s="89"/>
      <c r="B888" s="89"/>
      <c r="C888" s="89">
        <v>121</v>
      </c>
      <c r="D888" s="89">
        <v>2404163</v>
      </c>
      <c r="E888" s="89" t="s">
        <v>20</v>
      </c>
      <c r="F888" s="89">
        <v>4.8399999999999999E-2</v>
      </c>
      <c r="G888" s="89">
        <v>0.9516</v>
      </c>
      <c r="H888" s="89" t="s">
        <v>38</v>
      </c>
      <c r="I888" s="89" t="b">
        <v>0</v>
      </c>
      <c r="J888" s="89"/>
      <c r="K888" s="89"/>
    </row>
    <row r="889" spans="1:11" x14ac:dyDescent="0.3">
      <c r="A889" s="89"/>
      <c r="B889" s="89"/>
      <c r="C889" s="89">
        <v>20</v>
      </c>
      <c r="D889" s="89">
        <v>2303026</v>
      </c>
      <c r="E889" s="89" t="s">
        <v>20</v>
      </c>
      <c r="F889" s="89">
        <v>4.8300000000000003E-2</v>
      </c>
      <c r="G889" s="89">
        <v>0.95169999999999999</v>
      </c>
      <c r="H889" s="89" t="s">
        <v>28</v>
      </c>
      <c r="I889" s="89" t="b">
        <v>0</v>
      </c>
      <c r="J889" s="89"/>
      <c r="K889" s="89"/>
    </row>
    <row r="890" spans="1:11" x14ac:dyDescent="0.3">
      <c r="A890" s="89"/>
      <c r="B890" s="89"/>
      <c r="C890" s="89">
        <v>67</v>
      </c>
      <c r="D890" s="89">
        <v>1706085</v>
      </c>
      <c r="E890" s="89" t="s">
        <v>20</v>
      </c>
      <c r="F890" s="89">
        <v>4.7800000000000002E-2</v>
      </c>
      <c r="G890" s="89">
        <v>0.95220000000000005</v>
      </c>
      <c r="H890" s="89" t="s">
        <v>38</v>
      </c>
      <c r="I890" s="89" t="b">
        <v>0</v>
      </c>
      <c r="J890" s="89"/>
      <c r="K890" s="89"/>
    </row>
    <row r="891" spans="1:11" x14ac:dyDescent="0.3">
      <c r="A891" s="89"/>
      <c r="B891" s="89"/>
      <c r="C891" s="89">
        <v>11</v>
      </c>
      <c r="D891" s="89">
        <v>2401017</v>
      </c>
      <c r="E891" s="89" t="s">
        <v>20</v>
      </c>
      <c r="F891" s="89">
        <v>4.7699999999999999E-2</v>
      </c>
      <c r="G891" s="89">
        <v>0.95230000000000004</v>
      </c>
      <c r="H891" s="89" t="s">
        <v>31</v>
      </c>
      <c r="I891" s="89" t="b">
        <v>0</v>
      </c>
      <c r="J891" s="89"/>
      <c r="K891" s="89"/>
    </row>
    <row r="892" spans="1:11" x14ac:dyDescent="0.3">
      <c r="A892" s="89"/>
      <c r="B892" s="89"/>
      <c r="C892" s="89">
        <v>107</v>
      </c>
      <c r="D892" s="89">
        <v>1705127</v>
      </c>
      <c r="E892" s="89" t="s">
        <v>20</v>
      </c>
      <c r="F892" s="89">
        <v>4.7199999999999999E-2</v>
      </c>
      <c r="G892" s="89">
        <v>0.95279999999999998</v>
      </c>
      <c r="H892" s="89" t="s">
        <v>31</v>
      </c>
      <c r="I892" s="89" t="b">
        <v>0</v>
      </c>
      <c r="J892" s="89"/>
      <c r="K892" s="89"/>
    </row>
    <row r="893" spans="1:11" x14ac:dyDescent="0.3">
      <c r="A893" s="89"/>
      <c r="B893" s="89"/>
      <c r="C893" s="89">
        <v>76</v>
      </c>
      <c r="D893" s="89">
        <v>2303096</v>
      </c>
      <c r="E893" s="89" t="s">
        <v>20</v>
      </c>
      <c r="F893" s="89">
        <v>4.7100000000000003E-2</v>
      </c>
      <c r="G893" s="89">
        <v>0.95289999999999997</v>
      </c>
      <c r="H893" s="89" t="s">
        <v>38</v>
      </c>
      <c r="I893" s="89" t="b">
        <v>0</v>
      </c>
      <c r="J893" s="89"/>
      <c r="K893" s="89"/>
    </row>
    <row r="894" spans="1:11" x14ac:dyDescent="0.3">
      <c r="A894" s="89"/>
      <c r="B894" s="89"/>
      <c r="C894" s="89">
        <v>71</v>
      </c>
      <c r="D894" s="89">
        <v>2404098</v>
      </c>
      <c r="E894" s="89" t="s">
        <v>20</v>
      </c>
      <c r="F894" s="89">
        <v>4.7E-2</v>
      </c>
      <c r="G894" s="89">
        <v>0.95299999999999996</v>
      </c>
      <c r="H894" s="89" t="s">
        <v>38</v>
      </c>
      <c r="I894" s="89" t="b">
        <v>0</v>
      </c>
      <c r="J894" s="89"/>
      <c r="K894" s="89"/>
    </row>
    <row r="895" spans="1:11" x14ac:dyDescent="0.3">
      <c r="A895" s="89"/>
      <c r="B895" s="89"/>
      <c r="C895" s="89">
        <v>256</v>
      </c>
      <c r="D895" s="89">
        <v>1706327</v>
      </c>
      <c r="E895" s="89" t="s">
        <v>20</v>
      </c>
      <c r="F895" s="89">
        <v>4.6899999999999997E-2</v>
      </c>
      <c r="G895" s="89">
        <v>0.95309999999999995</v>
      </c>
      <c r="H895" s="89" t="s">
        <v>38</v>
      </c>
      <c r="I895" s="89" t="b">
        <v>0</v>
      </c>
      <c r="J895" s="89"/>
      <c r="K895" s="89"/>
    </row>
    <row r="896" spans="1:11" x14ac:dyDescent="0.3">
      <c r="A896" s="89"/>
      <c r="B896" s="89"/>
      <c r="C896" s="89">
        <v>14</v>
      </c>
      <c r="D896" s="89">
        <v>2303018</v>
      </c>
      <c r="E896" s="89" t="s">
        <v>20</v>
      </c>
      <c r="F896" s="89">
        <v>4.6199999999999998E-2</v>
      </c>
      <c r="G896" s="89">
        <v>0.95379999999999998</v>
      </c>
      <c r="H896" s="89" t="s">
        <v>38</v>
      </c>
      <c r="I896" s="89" t="b">
        <v>0</v>
      </c>
      <c r="J896" s="89"/>
      <c r="K896" s="89"/>
    </row>
    <row r="897" spans="1:11" x14ac:dyDescent="0.3">
      <c r="A897" s="89"/>
      <c r="B897" s="89"/>
      <c r="C897" s="89">
        <v>285</v>
      </c>
      <c r="D897" s="89">
        <v>1705384</v>
      </c>
      <c r="E897" s="89" t="s">
        <v>20</v>
      </c>
      <c r="F897" s="89">
        <v>4.5600000000000002E-2</v>
      </c>
      <c r="G897" s="89">
        <v>0.95440000000000003</v>
      </c>
      <c r="H897" s="89" t="s">
        <v>38</v>
      </c>
      <c r="I897" s="89" t="b">
        <v>0</v>
      </c>
      <c r="J897" s="89"/>
      <c r="K897" s="89"/>
    </row>
    <row r="898" spans="1:11" x14ac:dyDescent="0.3">
      <c r="A898" s="89"/>
      <c r="B898" s="89"/>
      <c r="C898" s="89">
        <v>73</v>
      </c>
      <c r="D898" s="89">
        <v>1706093</v>
      </c>
      <c r="E898" s="89" t="s">
        <v>20</v>
      </c>
      <c r="F898" s="89">
        <v>4.5600000000000002E-2</v>
      </c>
      <c r="G898" s="89">
        <v>0.95440000000000003</v>
      </c>
      <c r="H898" s="89" t="s">
        <v>38</v>
      </c>
      <c r="I898" s="89" t="b">
        <v>0</v>
      </c>
      <c r="J898" s="89"/>
      <c r="K898" s="89"/>
    </row>
    <row r="899" spans="1:11" x14ac:dyDescent="0.3">
      <c r="A899" s="89"/>
      <c r="B899" s="89"/>
      <c r="C899" s="89">
        <v>75</v>
      </c>
      <c r="D899" s="89">
        <v>2303095</v>
      </c>
      <c r="E899" s="89" t="s">
        <v>20</v>
      </c>
      <c r="F899" s="89">
        <v>4.5600000000000002E-2</v>
      </c>
      <c r="G899" s="89">
        <v>0.95440000000000003</v>
      </c>
      <c r="H899" s="89" t="s">
        <v>38</v>
      </c>
      <c r="I899" s="89" t="b">
        <v>0</v>
      </c>
      <c r="J899" s="89"/>
      <c r="K899" s="89"/>
    </row>
    <row r="900" spans="1:11" x14ac:dyDescent="0.3">
      <c r="A900" s="89"/>
      <c r="B900" s="89"/>
      <c r="C900" s="89">
        <v>93</v>
      </c>
      <c r="D900" s="89">
        <v>2404131</v>
      </c>
      <c r="E900" s="89" t="s">
        <v>20</v>
      </c>
      <c r="F900" s="89">
        <v>4.5600000000000002E-2</v>
      </c>
      <c r="G900" s="89">
        <v>0.95440000000000003</v>
      </c>
      <c r="H900" s="89" t="s">
        <v>26</v>
      </c>
      <c r="I900" s="89" t="b">
        <v>0</v>
      </c>
      <c r="J900" s="89"/>
      <c r="K900" s="89"/>
    </row>
    <row r="901" spans="1:11" x14ac:dyDescent="0.3">
      <c r="A901" s="89"/>
      <c r="B901" s="89"/>
      <c r="C901" s="89">
        <v>45</v>
      </c>
      <c r="D901" s="89">
        <v>1706058</v>
      </c>
      <c r="E901" s="89" t="s">
        <v>20</v>
      </c>
      <c r="F901" s="89">
        <v>4.5100000000000001E-2</v>
      </c>
      <c r="G901" s="89">
        <v>0.95489999999999997</v>
      </c>
      <c r="H901" s="89" t="s">
        <v>38</v>
      </c>
      <c r="I901" s="89" t="b">
        <v>0</v>
      </c>
      <c r="J901" s="89"/>
      <c r="K901" s="89"/>
    </row>
    <row r="902" spans="1:11" x14ac:dyDescent="0.3">
      <c r="A902" s="89"/>
      <c r="B902" s="89"/>
      <c r="C902" s="89">
        <v>246</v>
      </c>
      <c r="D902" s="89">
        <v>2303321</v>
      </c>
      <c r="E902" s="89" t="s">
        <v>20</v>
      </c>
      <c r="F902" s="89">
        <v>4.5100000000000001E-2</v>
      </c>
      <c r="G902" s="89">
        <v>0.95489999999999997</v>
      </c>
      <c r="H902" s="89" t="s">
        <v>38</v>
      </c>
      <c r="I902" s="89" t="b">
        <v>0</v>
      </c>
      <c r="J902" s="89"/>
      <c r="K902" s="89"/>
    </row>
    <row r="903" spans="1:11" x14ac:dyDescent="0.3">
      <c r="A903" s="89"/>
      <c r="B903" s="89"/>
      <c r="C903" s="89">
        <v>55</v>
      </c>
      <c r="D903" s="89">
        <v>1706068</v>
      </c>
      <c r="E903" s="89" t="s">
        <v>20</v>
      </c>
      <c r="F903" s="89">
        <v>4.4900000000000002E-2</v>
      </c>
      <c r="G903" s="89">
        <v>0.95509999999999995</v>
      </c>
      <c r="H903" s="89" t="s">
        <v>31</v>
      </c>
      <c r="I903" s="89" t="b">
        <v>0</v>
      </c>
      <c r="J903" s="89"/>
      <c r="K903" s="89"/>
    </row>
    <row r="904" spans="1:11" x14ac:dyDescent="0.3">
      <c r="A904" s="89"/>
      <c r="B904" s="89"/>
      <c r="C904" s="89">
        <v>62</v>
      </c>
      <c r="D904" s="89">
        <v>1706076</v>
      </c>
      <c r="E904" s="89" t="s">
        <v>20</v>
      </c>
      <c r="F904" s="89">
        <v>4.48E-2</v>
      </c>
      <c r="G904" s="89">
        <v>0.95520000000000005</v>
      </c>
      <c r="H904" s="89" t="s">
        <v>41</v>
      </c>
      <c r="I904" s="89" t="b">
        <v>0</v>
      </c>
      <c r="J904" s="89"/>
      <c r="K904" s="89"/>
    </row>
    <row r="905" spans="1:11" x14ac:dyDescent="0.3">
      <c r="A905" s="89"/>
      <c r="B905" s="89"/>
      <c r="C905" s="89">
        <v>48</v>
      </c>
      <c r="D905" s="89">
        <v>2401062</v>
      </c>
      <c r="E905" s="89" t="s">
        <v>20</v>
      </c>
      <c r="F905" s="89">
        <v>4.4499999999999998E-2</v>
      </c>
      <c r="G905" s="89">
        <v>0.95550000000000002</v>
      </c>
      <c r="H905" s="89" t="s">
        <v>26</v>
      </c>
      <c r="I905" s="89" t="b">
        <v>0</v>
      </c>
      <c r="J905" s="89"/>
      <c r="K905" s="89"/>
    </row>
    <row r="906" spans="1:11" x14ac:dyDescent="0.3">
      <c r="A906" s="89"/>
      <c r="B906" s="89"/>
      <c r="C906" s="89">
        <v>19</v>
      </c>
      <c r="D906" s="89">
        <v>2404028</v>
      </c>
      <c r="E906" s="89" t="s">
        <v>20</v>
      </c>
      <c r="F906" s="89">
        <v>4.41E-2</v>
      </c>
      <c r="G906" s="89">
        <v>0.95589999999999997</v>
      </c>
      <c r="H906" s="89" t="s">
        <v>38</v>
      </c>
      <c r="I906" s="89" t="b">
        <v>0</v>
      </c>
      <c r="J906" s="89"/>
      <c r="K906" s="89"/>
    </row>
    <row r="907" spans="1:11" x14ac:dyDescent="0.3">
      <c r="A907" s="89"/>
      <c r="B907" s="89"/>
      <c r="C907" s="89">
        <v>98</v>
      </c>
      <c r="D907" s="89">
        <v>2401126</v>
      </c>
      <c r="E907" s="89" t="s">
        <v>20</v>
      </c>
      <c r="F907" s="89">
        <v>4.3900000000000002E-2</v>
      </c>
      <c r="G907" s="89">
        <v>0.95609999999999995</v>
      </c>
      <c r="H907" s="89" t="s">
        <v>31</v>
      </c>
      <c r="I907" s="89" t="b">
        <v>0</v>
      </c>
      <c r="J907" s="89"/>
      <c r="K907" s="89"/>
    </row>
    <row r="908" spans="1:11" x14ac:dyDescent="0.3">
      <c r="A908" s="89"/>
      <c r="B908" s="89"/>
      <c r="C908" s="89">
        <v>70</v>
      </c>
      <c r="D908" s="89">
        <v>1706089</v>
      </c>
      <c r="E908" s="89" t="s">
        <v>20</v>
      </c>
      <c r="F908" s="89">
        <v>4.36E-2</v>
      </c>
      <c r="G908" s="89">
        <v>0.95640000000000003</v>
      </c>
      <c r="H908" s="89" t="s">
        <v>45</v>
      </c>
      <c r="I908" s="89" t="b">
        <v>0</v>
      </c>
      <c r="J908" s="89"/>
      <c r="K908" s="89"/>
    </row>
    <row r="909" spans="1:11" x14ac:dyDescent="0.3">
      <c r="A909" s="89"/>
      <c r="B909" s="89"/>
      <c r="C909" s="89">
        <v>12</v>
      </c>
      <c r="D909" s="89">
        <v>2404016</v>
      </c>
      <c r="E909" s="89" t="s">
        <v>20</v>
      </c>
      <c r="F909" s="89">
        <v>4.36E-2</v>
      </c>
      <c r="G909" s="89">
        <v>0.95640000000000003</v>
      </c>
      <c r="H909" s="89" t="s">
        <v>38</v>
      </c>
      <c r="I909" s="89" t="b">
        <v>0</v>
      </c>
      <c r="J909" s="89"/>
      <c r="K909" s="89"/>
    </row>
    <row r="910" spans="1:11" x14ac:dyDescent="0.3">
      <c r="A910" s="89"/>
      <c r="B910" s="89"/>
      <c r="C910" s="89">
        <v>192</v>
      </c>
      <c r="D910" s="89">
        <v>1706228</v>
      </c>
      <c r="E910" s="89" t="s">
        <v>20</v>
      </c>
      <c r="F910" s="89">
        <v>4.3499999999999997E-2</v>
      </c>
      <c r="G910" s="89">
        <v>0.95650000000000002</v>
      </c>
      <c r="H910" s="89" t="s">
        <v>38</v>
      </c>
      <c r="I910" s="89" t="b">
        <v>0</v>
      </c>
      <c r="J910" s="89"/>
      <c r="K910" s="89"/>
    </row>
    <row r="911" spans="1:11" x14ac:dyDescent="0.3">
      <c r="A911" s="89"/>
      <c r="B911" s="89"/>
      <c r="C911" s="89">
        <v>1</v>
      </c>
      <c r="D911" s="89">
        <v>1706002</v>
      </c>
      <c r="E911" s="89" t="s">
        <v>20</v>
      </c>
      <c r="F911" s="89">
        <v>4.3400000000000001E-2</v>
      </c>
      <c r="G911" s="89">
        <v>0.95660000000000001</v>
      </c>
      <c r="H911" s="89" t="s">
        <v>38</v>
      </c>
      <c r="I911" s="89" t="b">
        <v>0</v>
      </c>
      <c r="J911" s="89"/>
      <c r="K911" s="89"/>
    </row>
    <row r="912" spans="1:11" x14ac:dyDescent="0.3">
      <c r="A912" s="89"/>
      <c r="B912" s="89"/>
      <c r="C912" s="89">
        <v>103</v>
      </c>
      <c r="D912" s="89">
        <v>2303134</v>
      </c>
      <c r="E912" s="89" t="s">
        <v>20</v>
      </c>
      <c r="F912" s="89">
        <v>4.3400000000000001E-2</v>
      </c>
      <c r="G912" s="89">
        <v>0.95660000000000001</v>
      </c>
      <c r="H912" s="89" t="s">
        <v>38</v>
      </c>
      <c r="I912" s="89" t="b">
        <v>0</v>
      </c>
      <c r="J912" s="89"/>
      <c r="K912" s="89"/>
    </row>
    <row r="913" spans="1:11" x14ac:dyDescent="0.3">
      <c r="A913" s="89"/>
      <c r="B913" s="89"/>
      <c r="C913" s="89">
        <v>78</v>
      </c>
      <c r="D913" s="89">
        <v>1706098</v>
      </c>
      <c r="E913" s="89" t="s">
        <v>20</v>
      </c>
      <c r="F913" s="89">
        <v>4.3099999999999999E-2</v>
      </c>
      <c r="G913" s="89">
        <v>0.95689999999999997</v>
      </c>
      <c r="H913" s="89" t="s">
        <v>38</v>
      </c>
      <c r="I913" s="89" t="b">
        <v>0</v>
      </c>
      <c r="J913" s="89"/>
      <c r="K913" s="89"/>
    </row>
    <row r="914" spans="1:11" x14ac:dyDescent="0.3">
      <c r="A914" s="89"/>
      <c r="B914" s="89"/>
      <c r="C914" s="89">
        <v>18</v>
      </c>
      <c r="D914" s="89">
        <v>2404026</v>
      </c>
      <c r="E914" s="89" t="s">
        <v>20</v>
      </c>
      <c r="F914" s="89">
        <v>4.3099999999999999E-2</v>
      </c>
      <c r="G914" s="89">
        <v>0.95689999999999997</v>
      </c>
      <c r="H914" s="89" t="s">
        <v>38</v>
      </c>
      <c r="I914" s="89" t="b">
        <v>0</v>
      </c>
      <c r="J914" s="89"/>
      <c r="K914" s="89"/>
    </row>
    <row r="915" spans="1:11" x14ac:dyDescent="0.3">
      <c r="A915" s="89"/>
      <c r="B915" s="89"/>
      <c r="C915" s="89">
        <v>5</v>
      </c>
      <c r="D915" s="89">
        <v>2303007</v>
      </c>
      <c r="E915" s="89" t="s">
        <v>20</v>
      </c>
      <c r="F915" s="89">
        <v>4.2999999999999997E-2</v>
      </c>
      <c r="G915" s="89">
        <v>0.95699999999999996</v>
      </c>
      <c r="H915" s="89" t="s">
        <v>28</v>
      </c>
      <c r="I915" s="89" t="b">
        <v>0</v>
      </c>
      <c r="J915" s="89"/>
      <c r="K915" s="89"/>
    </row>
    <row r="916" spans="1:11" x14ac:dyDescent="0.3">
      <c r="A916" s="89"/>
      <c r="B916" s="89"/>
      <c r="C916" s="89">
        <v>166</v>
      </c>
      <c r="D916" s="89">
        <v>2303223</v>
      </c>
      <c r="E916" s="89" t="s">
        <v>20</v>
      </c>
      <c r="F916" s="89">
        <v>4.2799999999999998E-2</v>
      </c>
      <c r="G916" s="89">
        <v>0.95720000000000005</v>
      </c>
      <c r="H916" s="89" t="s">
        <v>38</v>
      </c>
      <c r="I916" s="89" t="b">
        <v>0</v>
      </c>
      <c r="J916" s="89"/>
      <c r="K916" s="89"/>
    </row>
    <row r="917" spans="1:11" x14ac:dyDescent="0.3">
      <c r="A917" s="89"/>
      <c r="B917" s="89"/>
      <c r="C917" s="89">
        <v>21</v>
      </c>
      <c r="D917" s="89">
        <v>2404033</v>
      </c>
      <c r="E917" s="89" t="s">
        <v>20</v>
      </c>
      <c r="F917" s="89">
        <v>4.2700000000000002E-2</v>
      </c>
      <c r="G917" s="89">
        <v>0.95730000000000004</v>
      </c>
      <c r="H917" s="89" t="s">
        <v>33</v>
      </c>
      <c r="I917" s="89" t="b">
        <v>0</v>
      </c>
      <c r="J917" s="89"/>
      <c r="K917" s="89"/>
    </row>
    <row r="918" spans="1:11" x14ac:dyDescent="0.3">
      <c r="A918" s="89"/>
      <c r="B918" s="89"/>
      <c r="C918" s="89">
        <v>174</v>
      </c>
      <c r="D918" s="89">
        <v>1705209</v>
      </c>
      <c r="E918" s="89" t="s">
        <v>20</v>
      </c>
      <c r="F918" s="89">
        <v>4.24E-2</v>
      </c>
      <c r="G918" s="89">
        <v>0.95760000000000001</v>
      </c>
      <c r="H918" s="89" t="s">
        <v>31</v>
      </c>
      <c r="I918" s="89" t="b">
        <v>0</v>
      </c>
      <c r="J918" s="89"/>
      <c r="K918" s="89"/>
    </row>
    <row r="919" spans="1:11" x14ac:dyDescent="0.3">
      <c r="A919" s="89"/>
      <c r="B919" s="89"/>
      <c r="C919" s="89">
        <v>15</v>
      </c>
      <c r="D919" s="89">
        <v>2303019</v>
      </c>
      <c r="E919" s="89" t="s">
        <v>20</v>
      </c>
      <c r="F919" s="89">
        <v>4.24E-2</v>
      </c>
      <c r="G919" s="89">
        <v>0.95760000000000001</v>
      </c>
      <c r="H919" s="89" t="s">
        <v>31</v>
      </c>
      <c r="I919" s="89" t="b">
        <v>0</v>
      </c>
      <c r="J919" s="89"/>
      <c r="K919" s="89"/>
    </row>
    <row r="920" spans="1:11" x14ac:dyDescent="0.3">
      <c r="A920" s="89"/>
      <c r="B920" s="89"/>
      <c r="C920" s="89">
        <v>220</v>
      </c>
      <c r="D920" s="89">
        <v>2303288</v>
      </c>
      <c r="E920" s="89" t="s">
        <v>20</v>
      </c>
      <c r="F920" s="89">
        <v>4.2200000000000001E-2</v>
      </c>
      <c r="G920" s="89">
        <v>0.95779999999999998</v>
      </c>
      <c r="H920" s="89" t="s">
        <v>38</v>
      </c>
      <c r="I920" s="89" t="b">
        <v>0</v>
      </c>
      <c r="J920" s="89"/>
      <c r="K920" s="89"/>
    </row>
    <row r="921" spans="1:11" x14ac:dyDescent="0.3">
      <c r="A921" s="89"/>
      <c r="B921" s="89"/>
      <c r="C921" s="89">
        <v>284</v>
      </c>
      <c r="D921" s="89">
        <v>1705383</v>
      </c>
      <c r="E921" s="89" t="s">
        <v>20</v>
      </c>
      <c r="F921" s="89">
        <v>4.19E-2</v>
      </c>
      <c r="G921" s="89">
        <v>0.95809999999999995</v>
      </c>
      <c r="H921" s="89" t="s">
        <v>31</v>
      </c>
      <c r="I921" s="89" t="b">
        <v>0</v>
      </c>
      <c r="J921" s="89"/>
      <c r="K921" s="89"/>
    </row>
    <row r="922" spans="1:11" x14ac:dyDescent="0.3">
      <c r="A922" s="89"/>
      <c r="B922" s="89"/>
      <c r="C922" s="89">
        <v>60</v>
      </c>
      <c r="D922" s="89">
        <v>2404086</v>
      </c>
      <c r="E922" s="89" t="s">
        <v>20</v>
      </c>
      <c r="F922" s="89">
        <v>4.19E-2</v>
      </c>
      <c r="G922" s="89">
        <v>0.95809999999999995</v>
      </c>
      <c r="H922" s="89" t="s">
        <v>38</v>
      </c>
      <c r="I922" s="89" t="b">
        <v>0</v>
      </c>
      <c r="J922" s="89"/>
      <c r="K922" s="89"/>
    </row>
    <row r="923" spans="1:11" x14ac:dyDescent="0.3">
      <c r="A923" s="89"/>
      <c r="B923" s="89"/>
      <c r="C923" s="89">
        <v>217</v>
      </c>
      <c r="D923" s="89">
        <v>2303283</v>
      </c>
      <c r="E923" s="89" t="s">
        <v>20</v>
      </c>
      <c r="F923" s="89">
        <v>4.1700000000000001E-2</v>
      </c>
      <c r="G923" s="89">
        <v>0.95830000000000004</v>
      </c>
      <c r="H923" s="89" t="s">
        <v>38</v>
      </c>
      <c r="I923" s="89" t="b">
        <v>0</v>
      </c>
      <c r="J923" s="89"/>
      <c r="K923" s="89"/>
    </row>
    <row r="924" spans="1:11" x14ac:dyDescent="0.3">
      <c r="A924" s="89"/>
      <c r="B924" s="89"/>
      <c r="C924" s="89">
        <v>257</v>
      </c>
      <c r="D924" s="89">
        <v>1706329</v>
      </c>
      <c r="E924" s="89" t="s">
        <v>20</v>
      </c>
      <c r="F924" s="89">
        <v>4.1500000000000002E-2</v>
      </c>
      <c r="G924" s="89">
        <v>0.95850000000000002</v>
      </c>
      <c r="H924" s="89" t="s">
        <v>31</v>
      </c>
      <c r="I924" s="89" t="b">
        <v>0</v>
      </c>
      <c r="J924" s="89"/>
      <c r="K924" s="89"/>
    </row>
    <row r="925" spans="1:11" x14ac:dyDescent="0.3">
      <c r="A925" s="89"/>
      <c r="B925" s="89"/>
      <c r="C925" s="89">
        <v>7</v>
      </c>
      <c r="D925" s="89">
        <v>2303009</v>
      </c>
      <c r="E925" s="89" t="s">
        <v>20</v>
      </c>
      <c r="F925" s="89">
        <v>4.1500000000000002E-2</v>
      </c>
      <c r="G925" s="89">
        <v>0.95850000000000002</v>
      </c>
      <c r="H925" s="89" t="s">
        <v>38</v>
      </c>
      <c r="I925" s="89" t="b">
        <v>0</v>
      </c>
      <c r="J925" s="89"/>
      <c r="K925" s="89"/>
    </row>
    <row r="926" spans="1:11" x14ac:dyDescent="0.3">
      <c r="A926" s="89"/>
      <c r="B926" s="89"/>
      <c r="C926" s="89">
        <v>36</v>
      </c>
      <c r="D926" s="89">
        <v>1705040</v>
      </c>
      <c r="E926" s="89" t="s">
        <v>20</v>
      </c>
      <c r="F926" s="89">
        <v>4.1399999999999999E-2</v>
      </c>
      <c r="G926" s="89">
        <v>0.95860000000000001</v>
      </c>
      <c r="H926" s="89" t="s">
        <v>38</v>
      </c>
      <c r="I926" s="89" t="b">
        <v>0</v>
      </c>
      <c r="J926" s="89"/>
      <c r="K926" s="89"/>
    </row>
    <row r="927" spans="1:11" x14ac:dyDescent="0.3">
      <c r="A927" s="89"/>
      <c r="B927" s="89"/>
      <c r="C927" s="89">
        <v>257</v>
      </c>
      <c r="D927" s="89">
        <v>1705322</v>
      </c>
      <c r="E927" s="89" t="s">
        <v>20</v>
      </c>
      <c r="F927" s="89">
        <v>4.1300000000000003E-2</v>
      </c>
      <c r="G927" s="89">
        <v>0.9587</v>
      </c>
      <c r="H927" s="89" t="s">
        <v>31</v>
      </c>
      <c r="I927" s="89" t="b">
        <v>0</v>
      </c>
      <c r="J927" s="89"/>
      <c r="K927" s="89"/>
    </row>
    <row r="928" spans="1:11" x14ac:dyDescent="0.3">
      <c r="A928" s="89"/>
      <c r="B928" s="89"/>
      <c r="C928" s="89">
        <v>27</v>
      </c>
      <c r="D928" s="89">
        <v>1706035</v>
      </c>
      <c r="E928" s="89" t="s">
        <v>20</v>
      </c>
      <c r="F928" s="89">
        <v>4.1300000000000003E-2</v>
      </c>
      <c r="G928" s="89">
        <v>0.9587</v>
      </c>
      <c r="H928" s="89" t="s">
        <v>38</v>
      </c>
      <c r="I928" s="89" t="b">
        <v>0</v>
      </c>
      <c r="J928" s="89"/>
      <c r="K928" s="89"/>
    </row>
    <row r="929" spans="1:11" x14ac:dyDescent="0.3">
      <c r="A929" s="89"/>
      <c r="B929" s="89"/>
      <c r="C929" s="89">
        <v>47</v>
      </c>
      <c r="D929" s="89">
        <v>2401061</v>
      </c>
      <c r="E929" s="89" t="s">
        <v>20</v>
      </c>
      <c r="F929" s="89">
        <v>4.1300000000000003E-2</v>
      </c>
      <c r="G929" s="89">
        <v>0.9587</v>
      </c>
      <c r="H929" s="89" t="s">
        <v>31</v>
      </c>
      <c r="I929" s="89" t="b">
        <v>0</v>
      </c>
      <c r="J929" s="89"/>
      <c r="K929" s="89"/>
    </row>
    <row r="930" spans="1:11" x14ac:dyDescent="0.3">
      <c r="A930" s="89"/>
      <c r="B930" s="89"/>
      <c r="C930" s="89">
        <v>218</v>
      </c>
      <c r="D930" s="89">
        <v>2303286</v>
      </c>
      <c r="E930" s="89" t="s">
        <v>20</v>
      </c>
      <c r="F930" s="89">
        <v>4.1099999999999998E-2</v>
      </c>
      <c r="G930" s="89">
        <v>0.95889999999999997</v>
      </c>
      <c r="H930" s="89" t="s">
        <v>31</v>
      </c>
      <c r="I930" s="89" t="b">
        <v>0</v>
      </c>
      <c r="J930" s="89"/>
      <c r="K930" s="89"/>
    </row>
    <row r="931" spans="1:11" x14ac:dyDescent="0.3">
      <c r="A931" s="89"/>
      <c r="B931" s="89"/>
      <c r="C931" s="89">
        <v>231</v>
      </c>
      <c r="D931" s="89">
        <v>1705277</v>
      </c>
      <c r="E931" s="89" t="s">
        <v>20</v>
      </c>
      <c r="F931" s="89">
        <v>4.1000000000000002E-2</v>
      </c>
      <c r="G931" s="89">
        <v>0.95899999999999996</v>
      </c>
      <c r="H931" s="89" t="s">
        <v>31</v>
      </c>
      <c r="I931" s="89" t="b">
        <v>0</v>
      </c>
      <c r="J931" s="89"/>
      <c r="K931" s="89"/>
    </row>
    <row r="932" spans="1:11" x14ac:dyDescent="0.3">
      <c r="A932" s="89"/>
      <c r="B932" s="89"/>
      <c r="C932" s="89">
        <v>74</v>
      </c>
      <c r="D932" s="89">
        <v>1706094</v>
      </c>
      <c r="E932" s="89" t="s">
        <v>20</v>
      </c>
      <c r="F932" s="89">
        <v>4.1000000000000002E-2</v>
      </c>
      <c r="G932" s="89">
        <v>0.95899999999999996</v>
      </c>
      <c r="H932" s="89" t="s">
        <v>38</v>
      </c>
      <c r="I932" s="89" t="b">
        <v>0</v>
      </c>
      <c r="J932" s="89"/>
      <c r="K932" s="89"/>
    </row>
    <row r="933" spans="1:11" x14ac:dyDescent="0.3">
      <c r="A933" s="89"/>
      <c r="B933" s="89"/>
      <c r="C933" s="89">
        <v>98</v>
      </c>
      <c r="D933" s="89">
        <v>2404137</v>
      </c>
      <c r="E933" s="89" t="s">
        <v>20</v>
      </c>
      <c r="F933" s="89">
        <v>4.1000000000000002E-2</v>
      </c>
      <c r="G933" s="89">
        <v>0.95899999999999996</v>
      </c>
      <c r="H933" s="89" t="s">
        <v>38</v>
      </c>
      <c r="I933" s="89" t="b">
        <v>0</v>
      </c>
      <c r="J933" s="89"/>
      <c r="K933" s="89"/>
    </row>
    <row r="934" spans="1:11" x14ac:dyDescent="0.3">
      <c r="A934" s="89"/>
      <c r="B934" s="89"/>
      <c r="C934" s="89">
        <v>26</v>
      </c>
      <c r="D934" s="89">
        <v>1706034</v>
      </c>
      <c r="E934" s="89" t="s">
        <v>20</v>
      </c>
      <c r="F934" s="89">
        <v>4.0899999999999999E-2</v>
      </c>
      <c r="G934" s="89">
        <v>0.95909999999999995</v>
      </c>
      <c r="H934" s="89" t="s">
        <v>31</v>
      </c>
      <c r="I934" s="89" t="b">
        <v>0</v>
      </c>
      <c r="J934" s="89"/>
      <c r="K934" s="89"/>
    </row>
    <row r="935" spans="1:11" x14ac:dyDescent="0.3">
      <c r="A935" s="89"/>
      <c r="B935" s="89"/>
      <c r="C935" s="89">
        <v>289</v>
      </c>
      <c r="D935" s="89">
        <v>2303368</v>
      </c>
      <c r="E935" s="89" t="s">
        <v>20</v>
      </c>
      <c r="F935" s="89">
        <v>4.07E-2</v>
      </c>
      <c r="G935" s="89">
        <v>0.95930000000000004</v>
      </c>
      <c r="H935" s="89" t="s">
        <v>38</v>
      </c>
      <c r="I935" s="89" t="b">
        <v>0</v>
      </c>
      <c r="J935" s="89"/>
      <c r="K935" s="89"/>
    </row>
    <row r="936" spans="1:11" x14ac:dyDescent="0.3">
      <c r="A936" s="89"/>
      <c r="B936" s="89"/>
      <c r="C936" s="89">
        <v>92</v>
      </c>
      <c r="D936" s="89">
        <v>2404130</v>
      </c>
      <c r="E936" s="89" t="s">
        <v>20</v>
      </c>
      <c r="F936" s="89">
        <v>4.0399999999999998E-2</v>
      </c>
      <c r="G936" s="89">
        <v>0.95960000000000001</v>
      </c>
      <c r="H936" s="89" t="s">
        <v>38</v>
      </c>
      <c r="I936" s="89" t="b">
        <v>0</v>
      </c>
      <c r="J936" s="89"/>
      <c r="K936" s="89"/>
    </row>
    <row r="937" spans="1:11" x14ac:dyDescent="0.3">
      <c r="A937" s="89"/>
      <c r="B937" s="89"/>
      <c r="C937" s="89">
        <v>107</v>
      </c>
      <c r="D937" s="89">
        <v>1706129</v>
      </c>
      <c r="E937" s="89" t="s">
        <v>20</v>
      </c>
      <c r="F937" s="89">
        <v>4.0300000000000002E-2</v>
      </c>
      <c r="G937" s="89">
        <v>0.9597</v>
      </c>
      <c r="H937" s="89" t="s">
        <v>38</v>
      </c>
      <c r="I937" s="89" t="b">
        <v>0</v>
      </c>
      <c r="J937" s="89"/>
      <c r="K937" s="89"/>
    </row>
    <row r="938" spans="1:11" x14ac:dyDescent="0.3">
      <c r="A938" s="89"/>
      <c r="B938" s="89"/>
      <c r="C938" s="89">
        <v>170</v>
      </c>
      <c r="D938" s="89">
        <v>1706204</v>
      </c>
      <c r="E938" s="89" t="s">
        <v>20</v>
      </c>
      <c r="F938" s="89">
        <v>4.0300000000000002E-2</v>
      </c>
      <c r="G938" s="89">
        <v>0.9597</v>
      </c>
      <c r="H938" s="89" t="s">
        <v>38</v>
      </c>
      <c r="I938" s="89" t="b">
        <v>0</v>
      </c>
      <c r="J938" s="89"/>
      <c r="K938" s="89"/>
    </row>
    <row r="939" spans="1:11" x14ac:dyDescent="0.3">
      <c r="A939" s="89"/>
      <c r="B939" s="89"/>
      <c r="C939" s="89">
        <v>43</v>
      </c>
      <c r="D939" s="89">
        <v>2404062</v>
      </c>
      <c r="E939" s="89" t="s">
        <v>20</v>
      </c>
      <c r="F939" s="89">
        <v>3.9800000000000002E-2</v>
      </c>
      <c r="G939" s="89">
        <v>0.96020000000000005</v>
      </c>
      <c r="H939" s="89" t="s">
        <v>38</v>
      </c>
      <c r="I939" s="89" t="b">
        <v>0</v>
      </c>
      <c r="J939" s="89"/>
      <c r="K939" s="89"/>
    </row>
    <row r="940" spans="1:11" x14ac:dyDescent="0.3">
      <c r="A940" s="89"/>
      <c r="B940" s="89"/>
      <c r="C940" s="89">
        <v>111</v>
      </c>
      <c r="D940" s="89">
        <v>1706136</v>
      </c>
      <c r="E940" s="89" t="s">
        <v>20</v>
      </c>
      <c r="F940" s="89">
        <v>3.9699999999999999E-2</v>
      </c>
      <c r="G940" s="89">
        <v>0.96030000000000004</v>
      </c>
      <c r="H940" s="89" t="s">
        <v>31</v>
      </c>
      <c r="I940" s="89" t="b">
        <v>0</v>
      </c>
      <c r="J940" s="89"/>
      <c r="K940" s="89"/>
    </row>
    <row r="941" spans="1:11" x14ac:dyDescent="0.3">
      <c r="A941" s="89"/>
      <c r="B941" s="89"/>
      <c r="C941" s="89">
        <v>91</v>
      </c>
      <c r="D941" s="89">
        <v>2303117</v>
      </c>
      <c r="E941" s="89" t="s">
        <v>20</v>
      </c>
      <c r="F941" s="89">
        <v>3.9399999999999998E-2</v>
      </c>
      <c r="G941" s="89">
        <v>0.96060000000000001</v>
      </c>
      <c r="H941" s="89" t="s">
        <v>38</v>
      </c>
      <c r="I941" s="89" t="b">
        <v>0</v>
      </c>
      <c r="J941" s="89"/>
      <c r="K941" s="89"/>
    </row>
    <row r="942" spans="1:11" x14ac:dyDescent="0.3">
      <c r="A942" s="89"/>
      <c r="B942" s="89"/>
      <c r="C942" s="89">
        <v>79</v>
      </c>
      <c r="D942" s="89">
        <v>2401099</v>
      </c>
      <c r="E942" s="89" t="s">
        <v>20</v>
      </c>
      <c r="F942" s="89">
        <v>3.9300000000000002E-2</v>
      </c>
      <c r="G942" s="89">
        <v>0.9607</v>
      </c>
      <c r="H942" s="89" t="s">
        <v>52</v>
      </c>
      <c r="I942" s="89" t="b">
        <v>0</v>
      </c>
      <c r="J942" s="89"/>
      <c r="K942" s="89"/>
    </row>
    <row r="943" spans="1:11" x14ac:dyDescent="0.3">
      <c r="A943" s="89"/>
      <c r="B943" s="89"/>
      <c r="C943" s="89">
        <v>215</v>
      </c>
      <c r="D943" s="89">
        <v>2303279</v>
      </c>
      <c r="E943" s="89" t="s">
        <v>20</v>
      </c>
      <c r="F943" s="89">
        <v>3.9100000000000003E-2</v>
      </c>
      <c r="G943" s="89">
        <v>0.96089999999999998</v>
      </c>
      <c r="H943" s="89" t="s">
        <v>38</v>
      </c>
      <c r="I943" s="89" t="b">
        <v>0</v>
      </c>
      <c r="J943" s="89"/>
      <c r="K943" s="89"/>
    </row>
    <row r="944" spans="1:11" ht="18" customHeight="1" x14ac:dyDescent="0.3">
      <c r="A944" s="89"/>
      <c r="B944" s="89"/>
      <c r="C944" s="89">
        <v>129</v>
      </c>
      <c r="D944" s="89">
        <v>2303170</v>
      </c>
      <c r="E944" s="89" t="s">
        <v>20</v>
      </c>
      <c r="F944" s="89">
        <v>3.8699999999999998E-2</v>
      </c>
      <c r="G944" s="89">
        <v>0.96130000000000004</v>
      </c>
      <c r="H944" s="89" t="s">
        <v>31</v>
      </c>
      <c r="I944" s="89" t="b">
        <v>0</v>
      </c>
      <c r="J944" s="89"/>
      <c r="K944" s="89"/>
    </row>
    <row r="945" spans="1:11" ht="18" customHeight="1" x14ac:dyDescent="0.3">
      <c r="A945" s="89"/>
      <c r="B945" s="89"/>
      <c r="C945" s="89">
        <v>233</v>
      </c>
      <c r="D945" s="89">
        <v>2303304</v>
      </c>
      <c r="E945" s="89" t="s">
        <v>20</v>
      </c>
      <c r="F945" s="89">
        <v>3.7999999999999999E-2</v>
      </c>
      <c r="G945" s="89">
        <v>0.96199999999999997</v>
      </c>
      <c r="H945" s="89" t="s">
        <v>31</v>
      </c>
      <c r="I945" s="89" t="b">
        <v>0</v>
      </c>
      <c r="J945" s="89"/>
      <c r="K945" s="89"/>
    </row>
    <row r="946" spans="1:11" ht="18" customHeight="1" x14ac:dyDescent="0.3">
      <c r="A946" s="89"/>
      <c r="B946" s="89"/>
      <c r="C946" s="89">
        <v>226</v>
      </c>
      <c r="D946" s="89">
        <v>1705269</v>
      </c>
      <c r="E946" s="89" t="s">
        <v>20</v>
      </c>
      <c r="F946" s="89">
        <v>3.7900000000000003E-2</v>
      </c>
      <c r="G946" s="89">
        <v>0.96209999999999996</v>
      </c>
      <c r="H946" s="89" t="s">
        <v>38</v>
      </c>
      <c r="I946" s="89" t="b">
        <v>0</v>
      </c>
      <c r="J946" s="89"/>
      <c r="K946" s="89"/>
    </row>
    <row r="947" spans="1:11" ht="18" customHeight="1" x14ac:dyDescent="0.3">
      <c r="A947" s="89"/>
      <c r="B947" s="89"/>
      <c r="C947" s="89">
        <v>161</v>
      </c>
      <c r="D947" s="89">
        <v>1706195</v>
      </c>
      <c r="E947" s="89" t="s">
        <v>20</v>
      </c>
      <c r="F947" s="89">
        <v>3.6700000000000003E-2</v>
      </c>
      <c r="G947" s="89">
        <v>0.96330000000000005</v>
      </c>
      <c r="H947" s="89" t="s">
        <v>38</v>
      </c>
      <c r="I947" s="89" t="b">
        <v>0</v>
      </c>
      <c r="J947" s="89"/>
      <c r="K947" s="89"/>
    </row>
    <row r="948" spans="1:11" ht="18" customHeight="1" x14ac:dyDescent="0.3">
      <c r="A948" s="89"/>
      <c r="B948" s="89"/>
      <c r="C948" s="89">
        <v>127</v>
      </c>
      <c r="D948" s="89">
        <v>1706154</v>
      </c>
      <c r="E948" s="89" t="s">
        <v>20</v>
      </c>
      <c r="F948" s="89">
        <v>3.6400000000000002E-2</v>
      </c>
      <c r="G948" s="89">
        <v>0.96360000000000001</v>
      </c>
      <c r="H948" s="89" t="s">
        <v>38</v>
      </c>
      <c r="I948" s="89" t="b">
        <v>0</v>
      </c>
      <c r="J948" s="89"/>
      <c r="K948" s="89"/>
    </row>
    <row r="949" spans="1:11" ht="18" customHeight="1" x14ac:dyDescent="0.3">
      <c r="A949" s="89"/>
      <c r="B949" s="89"/>
      <c r="C949" s="89">
        <v>247</v>
      </c>
      <c r="D949" s="89">
        <v>1706313</v>
      </c>
      <c r="E949" s="89" t="s">
        <v>20</v>
      </c>
      <c r="F949" s="89">
        <v>3.6400000000000002E-2</v>
      </c>
      <c r="G949" s="89">
        <v>0.96360000000000001</v>
      </c>
      <c r="H949" s="89" t="s">
        <v>38</v>
      </c>
      <c r="I949" s="89" t="b">
        <v>0</v>
      </c>
      <c r="J949" s="89"/>
      <c r="K949" s="89"/>
    </row>
    <row r="950" spans="1:11" ht="18" customHeight="1" x14ac:dyDescent="0.3">
      <c r="A950" s="89"/>
      <c r="B950" s="89"/>
      <c r="C950" s="89">
        <v>203</v>
      </c>
      <c r="D950" s="89">
        <v>1705240</v>
      </c>
      <c r="E950" s="89" t="s">
        <v>20</v>
      </c>
      <c r="F950" s="89">
        <v>3.61E-2</v>
      </c>
      <c r="G950" s="89">
        <v>0.96389999999999998</v>
      </c>
      <c r="H950" s="89" t="s">
        <v>38</v>
      </c>
      <c r="I950" s="89" t="b">
        <v>0</v>
      </c>
      <c r="J950" s="89"/>
      <c r="K950" s="89"/>
    </row>
    <row r="951" spans="1:11" ht="18" customHeight="1" x14ac:dyDescent="0.3">
      <c r="A951" s="89"/>
      <c r="B951" s="89"/>
      <c r="C951" s="89">
        <v>188</v>
      </c>
      <c r="D951" s="89">
        <v>1705224</v>
      </c>
      <c r="E951" s="89" t="s">
        <v>20</v>
      </c>
      <c r="F951" s="89">
        <v>3.5700000000000003E-2</v>
      </c>
      <c r="G951" s="89">
        <v>0.96430000000000005</v>
      </c>
      <c r="H951" s="89" t="s">
        <v>38</v>
      </c>
      <c r="I951" s="89" t="b">
        <v>0</v>
      </c>
      <c r="J951" s="89"/>
      <c r="K951" s="89"/>
    </row>
    <row r="952" spans="1:11" ht="18" customHeight="1" x14ac:dyDescent="0.3">
      <c r="A952" s="89"/>
      <c r="B952" s="89"/>
      <c r="C952" s="89">
        <v>86</v>
      </c>
      <c r="D952" s="89">
        <v>2303112</v>
      </c>
      <c r="E952" s="89" t="s">
        <v>20</v>
      </c>
      <c r="F952" s="89">
        <v>3.5700000000000003E-2</v>
      </c>
      <c r="G952" s="89">
        <v>0.96430000000000005</v>
      </c>
      <c r="H952" s="89" t="s">
        <v>38</v>
      </c>
      <c r="I952" s="89" t="b">
        <v>0</v>
      </c>
      <c r="J952" s="89"/>
      <c r="K952" s="89"/>
    </row>
    <row r="953" spans="1:11" ht="18" customHeight="1" x14ac:dyDescent="0.3">
      <c r="A953" s="89"/>
      <c r="B953" s="89"/>
      <c r="C953" s="89">
        <v>117</v>
      </c>
      <c r="D953" s="89">
        <v>2404158</v>
      </c>
      <c r="E953" s="89" t="s">
        <v>20</v>
      </c>
      <c r="F953" s="89">
        <v>3.56E-2</v>
      </c>
      <c r="G953" s="89">
        <v>0.96440000000000003</v>
      </c>
      <c r="H953" s="89" t="s">
        <v>38</v>
      </c>
      <c r="I953" s="89" t="b">
        <v>0</v>
      </c>
      <c r="J953" s="89"/>
      <c r="K953" s="89"/>
    </row>
    <row r="954" spans="1:11" ht="18" customHeight="1" x14ac:dyDescent="0.3">
      <c r="A954" s="89"/>
      <c r="B954" s="89"/>
      <c r="C954" s="89">
        <v>247</v>
      </c>
      <c r="D954" s="89">
        <v>2303323</v>
      </c>
      <c r="E954" s="89" t="s">
        <v>20</v>
      </c>
      <c r="F954" s="89">
        <v>3.5499999999999997E-2</v>
      </c>
      <c r="G954" s="89">
        <v>0.96450000000000002</v>
      </c>
      <c r="H954" s="89" t="s">
        <v>45</v>
      </c>
      <c r="I954" s="89" t="b">
        <v>0</v>
      </c>
      <c r="J954" s="89"/>
      <c r="K954" s="89"/>
    </row>
    <row r="955" spans="1:11" ht="18" customHeight="1" x14ac:dyDescent="0.3">
      <c r="A955" s="89"/>
      <c r="B955" s="89"/>
      <c r="C955" s="89">
        <v>138</v>
      </c>
      <c r="D955" s="89">
        <v>1706168</v>
      </c>
      <c r="E955" s="89" t="s">
        <v>20</v>
      </c>
      <c r="F955" s="89">
        <v>3.4799999999999998E-2</v>
      </c>
      <c r="G955" s="89">
        <v>0.96519999999999995</v>
      </c>
      <c r="H955" s="89" t="s">
        <v>38</v>
      </c>
      <c r="I955" s="89" t="b">
        <v>0</v>
      </c>
      <c r="J955" s="89"/>
      <c r="K955" s="89"/>
    </row>
    <row r="956" spans="1:11" ht="18" customHeight="1" x14ac:dyDescent="0.3">
      <c r="A956" s="89"/>
      <c r="B956" s="89"/>
      <c r="C956" s="89">
        <v>235</v>
      </c>
      <c r="D956" s="89">
        <v>2303306</v>
      </c>
      <c r="E956" s="89" t="s">
        <v>20</v>
      </c>
      <c r="F956" s="89">
        <v>3.4299999999999997E-2</v>
      </c>
      <c r="G956" s="89">
        <v>0.9657</v>
      </c>
      <c r="H956" s="89" t="s">
        <v>38</v>
      </c>
      <c r="I956" s="89" t="b">
        <v>0</v>
      </c>
      <c r="J956" s="89"/>
      <c r="K956" s="89"/>
    </row>
    <row r="957" spans="1:11" ht="18.600000000000001" customHeight="1" x14ac:dyDescent="0.3">
      <c r="A957" s="89"/>
      <c r="B957" s="89"/>
      <c r="C957" s="89">
        <v>59</v>
      </c>
      <c r="D957" s="89">
        <v>2404085</v>
      </c>
      <c r="E957" s="89" t="s">
        <v>20</v>
      </c>
      <c r="F957" s="89">
        <v>3.4299999999999997E-2</v>
      </c>
      <c r="G957" s="89">
        <v>0.9657</v>
      </c>
      <c r="H957" s="89" t="s">
        <v>31</v>
      </c>
      <c r="I957" s="89" t="b">
        <v>0</v>
      </c>
      <c r="J957" s="89"/>
      <c r="K957" s="89"/>
    </row>
    <row r="958" spans="1:11" x14ac:dyDescent="0.3">
      <c r="A958" s="89"/>
      <c r="B958" s="89"/>
      <c r="C958" s="89">
        <v>51</v>
      </c>
      <c r="D958" s="89">
        <v>1706064</v>
      </c>
      <c r="E958" s="89" t="s">
        <v>20</v>
      </c>
      <c r="F958" s="89">
        <v>3.4099999999999998E-2</v>
      </c>
      <c r="G958" s="89">
        <v>0.96589999999999998</v>
      </c>
      <c r="H958" s="89" t="s">
        <v>31</v>
      </c>
      <c r="I958" s="89" t="b">
        <v>0</v>
      </c>
      <c r="J958" s="89"/>
      <c r="K958" s="89"/>
    </row>
    <row r="959" spans="1:11" x14ac:dyDescent="0.3">
      <c r="A959" s="89"/>
      <c r="B959" s="89"/>
      <c r="C959" s="89">
        <v>132</v>
      </c>
      <c r="D959" s="89">
        <v>1706160</v>
      </c>
      <c r="E959" s="89" t="s">
        <v>20</v>
      </c>
      <c r="F959" s="89">
        <v>3.4000000000000002E-2</v>
      </c>
      <c r="G959" s="89">
        <v>0.96599999999999997</v>
      </c>
      <c r="H959" s="89" t="s">
        <v>38</v>
      </c>
      <c r="I959" s="89" t="b">
        <v>0</v>
      </c>
      <c r="J959" s="89"/>
      <c r="K959" s="89"/>
    </row>
    <row r="960" spans="1:11" x14ac:dyDescent="0.3">
      <c r="A960" s="89"/>
      <c r="B960" s="89"/>
      <c r="C960" s="89">
        <v>20</v>
      </c>
      <c r="D960" s="89">
        <v>2404030</v>
      </c>
      <c r="E960" s="89" t="s">
        <v>20</v>
      </c>
      <c r="F960" s="89">
        <v>3.39E-2</v>
      </c>
      <c r="G960" s="89">
        <v>0.96609999999999996</v>
      </c>
      <c r="H960" s="89" t="s">
        <v>38</v>
      </c>
      <c r="I960" s="89" t="b">
        <v>0</v>
      </c>
      <c r="J960" s="89"/>
      <c r="K960" s="89"/>
    </row>
    <row r="961" spans="1:11" x14ac:dyDescent="0.3">
      <c r="A961" s="89"/>
      <c r="B961" s="89"/>
      <c r="C961" s="89">
        <v>133</v>
      </c>
      <c r="D961" s="89">
        <v>1706162</v>
      </c>
      <c r="E961" s="89" t="s">
        <v>20</v>
      </c>
      <c r="F961" s="89">
        <v>3.3700000000000001E-2</v>
      </c>
      <c r="G961" s="89">
        <v>0.96630000000000005</v>
      </c>
      <c r="H961" s="89" t="s">
        <v>38</v>
      </c>
      <c r="I961" s="89" t="b">
        <v>0</v>
      </c>
      <c r="J961" s="89"/>
      <c r="K961" s="89"/>
    </row>
    <row r="962" spans="1:11" x14ac:dyDescent="0.3">
      <c r="A962" s="89"/>
      <c r="B962" s="89"/>
      <c r="C962" s="89">
        <v>57</v>
      </c>
      <c r="D962" s="89">
        <v>1706070</v>
      </c>
      <c r="E962" s="89" t="s">
        <v>20</v>
      </c>
      <c r="F962" s="89">
        <v>3.3599999999999998E-2</v>
      </c>
      <c r="G962" s="89">
        <v>0.96640000000000004</v>
      </c>
      <c r="H962" s="89" t="s">
        <v>31</v>
      </c>
      <c r="I962" s="89" t="b">
        <v>0</v>
      </c>
      <c r="J962" s="89"/>
      <c r="K962" s="89"/>
    </row>
    <row r="963" spans="1:11" x14ac:dyDescent="0.3">
      <c r="A963" s="89"/>
      <c r="B963" s="89"/>
      <c r="C963" s="89">
        <v>282</v>
      </c>
      <c r="D963" s="89">
        <v>1705379</v>
      </c>
      <c r="E963" s="89" t="s">
        <v>20</v>
      </c>
      <c r="F963" s="89">
        <v>3.3300000000000003E-2</v>
      </c>
      <c r="G963" s="89">
        <v>0.9667</v>
      </c>
      <c r="H963" s="89" t="s">
        <v>31</v>
      </c>
      <c r="I963" s="89" t="b">
        <v>0</v>
      </c>
      <c r="J963" s="89"/>
      <c r="K963" s="89"/>
    </row>
    <row r="964" spans="1:11" x14ac:dyDescent="0.3">
      <c r="A964" s="89"/>
      <c r="B964" s="89"/>
      <c r="C964" s="89">
        <v>267</v>
      </c>
      <c r="D964" s="89">
        <v>1706342</v>
      </c>
      <c r="E964" s="89" t="s">
        <v>20</v>
      </c>
      <c r="F964" s="89">
        <v>3.3099999999999997E-2</v>
      </c>
      <c r="G964" s="89">
        <v>0.96689999999999998</v>
      </c>
      <c r="H964" s="89" t="s">
        <v>31</v>
      </c>
      <c r="I964" s="89" t="b">
        <v>0</v>
      </c>
      <c r="J964" s="89"/>
      <c r="K964" s="89"/>
    </row>
    <row r="965" spans="1:11" x14ac:dyDescent="0.3">
      <c r="A965" s="89"/>
      <c r="B965" s="89"/>
      <c r="C965" s="89">
        <v>109</v>
      </c>
      <c r="D965" s="89">
        <v>2401138</v>
      </c>
      <c r="E965" s="89" t="s">
        <v>20</v>
      </c>
      <c r="F965" s="89">
        <v>3.3000000000000002E-2</v>
      </c>
      <c r="G965" s="89">
        <v>0.96699999999999997</v>
      </c>
      <c r="H965" s="89" t="s">
        <v>38</v>
      </c>
      <c r="I965" s="89" t="b">
        <v>0</v>
      </c>
      <c r="J965" s="89"/>
      <c r="K965" s="89"/>
    </row>
    <row r="966" spans="1:11" x14ac:dyDescent="0.3">
      <c r="A966" s="89"/>
      <c r="B966" s="89"/>
      <c r="C966" s="89">
        <v>27</v>
      </c>
      <c r="D966" s="89">
        <v>1705030</v>
      </c>
      <c r="E966" s="89" t="s">
        <v>20</v>
      </c>
      <c r="F966" s="89">
        <v>3.2800000000000003E-2</v>
      </c>
      <c r="G966" s="89">
        <v>0.96719999999999995</v>
      </c>
      <c r="H966" s="89" t="s">
        <v>31</v>
      </c>
      <c r="I966" s="89" t="b">
        <v>0</v>
      </c>
      <c r="J966" s="89"/>
      <c r="K966" s="89"/>
    </row>
    <row r="967" spans="1:11" x14ac:dyDescent="0.3">
      <c r="A967" s="89"/>
      <c r="B967" s="89"/>
      <c r="C967" s="89">
        <v>154</v>
      </c>
      <c r="D967" s="89">
        <v>2303209</v>
      </c>
      <c r="E967" s="89" t="s">
        <v>20</v>
      </c>
      <c r="F967" s="89">
        <v>3.27E-2</v>
      </c>
      <c r="G967" s="89">
        <v>0.96730000000000005</v>
      </c>
      <c r="H967" s="89" t="s">
        <v>38</v>
      </c>
      <c r="I967" s="89" t="b">
        <v>0</v>
      </c>
      <c r="J967" s="89"/>
      <c r="K967" s="89"/>
    </row>
    <row r="968" spans="1:11" x14ac:dyDescent="0.3">
      <c r="A968" s="89"/>
      <c r="B968" s="89"/>
      <c r="C968" s="89">
        <v>3</v>
      </c>
      <c r="D968" s="89">
        <v>2404004</v>
      </c>
      <c r="E968" s="89" t="s">
        <v>20</v>
      </c>
      <c r="F968" s="89">
        <v>3.27E-2</v>
      </c>
      <c r="G968" s="89">
        <v>0.96730000000000005</v>
      </c>
      <c r="H968" s="89" t="s">
        <v>52</v>
      </c>
      <c r="I968" s="89" t="b">
        <v>0</v>
      </c>
      <c r="J968" s="89"/>
      <c r="K968" s="89"/>
    </row>
    <row r="969" spans="1:11" x14ac:dyDescent="0.3">
      <c r="A969" s="89"/>
      <c r="B969" s="89"/>
      <c r="C969" s="89">
        <v>39</v>
      </c>
      <c r="D969" s="89">
        <v>1706050</v>
      </c>
      <c r="E969" s="89" t="s">
        <v>20</v>
      </c>
      <c r="F969" s="89">
        <v>3.2199999999999999E-2</v>
      </c>
      <c r="G969" s="89">
        <v>0.96779999999999999</v>
      </c>
      <c r="H969" s="89" t="s">
        <v>38</v>
      </c>
      <c r="I969" s="89" t="b">
        <v>0</v>
      </c>
      <c r="J969" s="89"/>
      <c r="K969" s="89"/>
    </row>
    <row r="970" spans="1:11" x14ac:dyDescent="0.3">
      <c r="A970" s="89"/>
      <c r="B970" s="89"/>
      <c r="C970" s="89">
        <v>288</v>
      </c>
      <c r="D970" s="89">
        <v>1705387</v>
      </c>
      <c r="E970" s="89" t="s">
        <v>20</v>
      </c>
      <c r="F970" s="89">
        <v>3.2099999999999997E-2</v>
      </c>
      <c r="G970" s="89">
        <v>0.96789999999999998</v>
      </c>
      <c r="H970" s="89" t="s">
        <v>38</v>
      </c>
      <c r="I970" s="89" t="b">
        <v>0</v>
      </c>
      <c r="J970" s="89"/>
      <c r="K970" s="89"/>
    </row>
    <row r="971" spans="1:11" x14ac:dyDescent="0.3">
      <c r="A971" s="89"/>
      <c r="B971" s="89"/>
      <c r="C971" s="89">
        <v>50</v>
      </c>
      <c r="D971" s="89">
        <v>2303059</v>
      </c>
      <c r="E971" s="89" t="s">
        <v>20</v>
      </c>
      <c r="F971" s="89">
        <v>3.2000000000000001E-2</v>
      </c>
      <c r="G971" s="89">
        <v>0.96799999999999997</v>
      </c>
      <c r="H971" s="89" t="s">
        <v>38</v>
      </c>
      <c r="I971" s="89" t="b">
        <v>0</v>
      </c>
      <c r="J971" s="89"/>
      <c r="K971" s="89"/>
    </row>
    <row r="972" spans="1:11" x14ac:dyDescent="0.3">
      <c r="A972" s="89"/>
      <c r="B972" s="89"/>
      <c r="C972" s="89">
        <v>61</v>
      </c>
      <c r="D972" s="89">
        <v>2404087</v>
      </c>
      <c r="E972" s="89" t="s">
        <v>20</v>
      </c>
      <c r="F972" s="89">
        <v>3.1899999999999998E-2</v>
      </c>
      <c r="G972" s="89">
        <v>0.96809999999999996</v>
      </c>
      <c r="H972" s="89" t="s">
        <v>38</v>
      </c>
      <c r="I972" s="89" t="b">
        <v>0</v>
      </c>
      <c r="J972" s="89"/>
      <c r="K972" s="89"/>
    </row>
    <row r="973" spans="1:11" x14ac:dyDescent="0.3">
      <c r="A973" s="89"/>
      <c r="B973" s="89"/>
      <c r="C973" s="89">
        <v>46</v>
      </c>
      <c r="D973" s="89">
        <v>1706059</v>
      </c>
      <c r="E973" s="89" t="s">
        <v>20</v>
      </c>
      <c r="F973" s="89">
        <v>3.1800000000000002E-2</v>
      </c>
      <c r="G973" s="89">
        <v>0.96819999999999995</v>
      </c>
      <c r="H973" s="89" t="s">
        <v>41</v>
      </c>
      <c r="I973" s="89" t="b">
        <v>0</v>
      </c>
      <c r="J973" s="89"/>
      <c r="K973" s="89"/>
    </row>
    <row r="974" spans="1:11" x14ac:dyDescent="0.3">
      <c r="A974" s="89"/>
      <c r="B974" s="89"/>
      <c r="C974" s="89">
        <v>115</v>
      </c>
      <c r="D974" s="89">
        <v>2303151</v>
      </c>
      <c r="E974" s="89" t="s">
        <v>20</v>
      </c>
      <c r="F974" s="89">
        <v>3.1699999999999999E-2</v>
      </c>
      <c r="G974" s="89">
        <v>0.96830000000000005</v>
      </c>
      <c r="H974" s="89" t="s">
        <v>38</v>
      </c>
      <c r="I974" s="89" t="b">
        <v>0</v>
      </c>
      <c r="J974" s="89"/>
      <c r="K974" s="89"/>
    </row>
    <row r="975" spans="1:11" x14ac:dyDescent="0.3">
      <c r="A975" s="89"/>
      <c r="B975" s="89"/>
      <c r="C975" s="89">
        <v>209</v>
      </c>
      <c r="D975" s="89">
        <v>1705249</v>
      </c>
      <c r="E975" s="89" t="s">
        <v>20</v>
      </c>
      <c r="F975" s="89">
        <v>3.15E-2</v>
      </c>
      <c r="G975" s="89">
        <v>0.96850000000000003</v>
      </c>
      <c r="H975" s="89" t="s">
        <v>38</v>
      </c>
      <c r="I975" s="89" t="b">
        <v>0</v>
      </c>
      <c r="J975" s="89"/>
      <c r="K975" s="89"/>
    </row>
    <row r="976" spans="1:11" x14ac:dyDescent="0.3">
      <c r="A976" s="89"/>
      <c r="B976" s="89"/>
      <c r="C976" s="89">
        <v>17</v>
      </c>
      <c r="D976" s="89">
        <v>1705018</v>
      </c>
      <c r="E976" s="89" t="s">
        <v>20</v>
      </c>
      <c r="F976" s="89">
        <v>3.1300000000000001E-2</v>
      </c>
      <c r="G976" s="89">
        <v>0.96870000000000001</v>
      </c>
      <c r="H976" s="89" t="s">
        <v>31</v>
      </c>
      <c r="I976" s="89" t="b">
        <v>0</v>
      </c>
      <c r="J976" s="89"/>
      <c r="K976" s="89"/>
    </row>
    <row r="977" spans="1:11" x14ac:dyDescent="0.3">
      <c r="A977" s="89"/>
      <c r="B977" s="89"/>
      <c r="C977" s="89">
        <v>226</v>
      </c>
      <c r="D977" s="89">
        <v>2303297</v>
      </c>
      <c r="E977" s="89" t="s">
        <v>20</v>
      </c>
      <c r="F977" s="89">
        <v>3.1300000000000001E-2</v>
      </c>
      <c r="G977" s="89">
        <v>0.96870000000000001</v>
      </c>
      <c r="H977" s="89" t="s">
        <v>38</v>
      </c>
      <c r="I977" s="89" t="b">
        <v>0</v>
      </c>
      <c r="J977" s="89"/>
      <c r="K977" s="89"/>
    </row>
    <row r="978" spans="1:11" x14ac:dyDescent="0.3">
      <c r="A978" s="89"/>
      <c r="B978" s="89"/>
      <c r="C978" s="89">
        <v>69</v>
      </c>
      <c r="D978" s="89">
        <v>1706088</v>
      </c>
      <c r="E978" s="89" t="s">
        <v>20</v>
      </c>
      <c r="F978" s="89">
        <v>3.1199999999999999E-2</v>
      </c>
      <c r="G978" s="89">
        <v>0.96879999999999999</v>
      </c>
      <c r="H978" s="89" t="s">
        <v>38</v>
      </c>
      <c r="I978" s="89" t="b">
        <v>0</v>
      </c>
      <c r="J978" s="89"/>
      <c r="K978" s="89"/>
    </row>
    <row r="979" spans="1:11" x14ac:dyDescent="0.3">
      <c r="A979" s="89"/>
      <c r="B979" s="89"/>
      <c r="C979" s="89">
        <v>179</v>
      </c>
      <c r="D979" s="89">
        <v>2303236</v>
      </c>
      <c r="E979" s="89" t="s">
        <v>20</v>
      </c>
      <c r="F979" s="89">
        <v>3.1E-2</v>
      </c>
      <c r="G979" s="89">
        <v>0.96899999999999997</v>
      </c>
      <c r="H979" s="89" t="s">
        <v>38</v>
      </c>
      <c r="I979" s="89" t="b">
        <v>0</v>
      </c>
      <c r="J979" s="89"/>
      <c r="K979" s="89"/>
    </row>
    <row r="980" spans="1:11" x14ac:dyDescent="0.3">
      <c r="A980" s="89"/>
      <c r="B980" s="89"/>
      <c r="C980" s="89">
        <v>18</v>
      </c>
      <c r="D980" s="89">
        <v>1705019</v>
      </c>
      <c r="E980" s="89" t="s">
        <v>20</v>
      </c>
      <c r="F980" s="89">
        <v>3.09E-2</v>
      </c>
      <c r="G980" s="89">
        <v>0.96909999999999996</v>
      </c>
      <c r="H980" s="89" t="s">
        <v>38</v>
      </c>
      <c r="I980" s="89" t="b">
        <v>0</v>
      </c>
      <c r="J980" s="89"/>
      <c r="K980" s="89"/>
    </row>
    <row r="981" spans="1:11" x14ac:dyDescent="0.3">
      <c r="A981" s="89"/>
      <c r="B981" s="89"/>
      <c r="C981" s="89">
        <v>22</v>
      </c>
      <c r="D981" s="89">
        <v>2404034</v>
      </c>
      <c r="E981" s="89" t="s">
        <v>20</v>
      </c>
      <c r="F981" s="89">
        <v>3.09E-2</v>
      </c>
      <c r="G981" s="89">
        <v>0.96909999999999996</v>
      </c>
      <c r="H981" s="89" t="s">
        <v>38</v>
      </c>
      <c r="I981" s="89" t="b">
        <v>0</v>
      </c>
      <c r="J981" s="89"/>
      <c r="K981" s="89"/>
    </row>
    <row r="982" spans="1:11" x14ac:dyDescent="0.3">
      <c r="A982" s="89"/>
      <c r="B982" s="89"/>
      <c r="C982" s="89">
        <v>126</v>
      </c>
      <c r="D982" s="89">
        <v>1705147</v>
      </c>
      <c r="E982" s="89" t="s">
        <v>20</v>
      </c>
      <c r="F982" s="89">
        <v>3.0800000000000001E-2</v>
      </c>
      <c r="G982" s="89">
        <v>0.96919999999999995</v>
      </c>
      <c r="H982" s="89" t="s">
        <v>31</v>
      </c>
      <c r="I982" s="89" t="b">
        <v>0</v>
      </c>
      <c r="J982" s="89"/>
      <c r="K982" s="89"/>
    </row>
    <row r="983" spans="1:11" x14ac:dyDescent="0.3">
      <c r="A983" s="89"/>
      <c r="B983" s="89"/>
      <c r="C983" s="89">
        <v>82</v>
      </c>
      <c r="D983" s="89">
        <v>1705097</v>
      </c>
      <c r="E983" s="89" t="s">
        <v>20</v>
      </c>
      <c r="F983" s="89">
        <v>3.0700000000000002E-2</v>
      </c>
      <c r="G983" s="89">
        <v>0.96930000000000005</v>
      </c>
      <c r="H983" s="89" t="s">
        <v>38</v>
      </c>
      <c r="I983" s="89" t="b">
        <v>0</v>
      </c>
      <c r="J983" s="89"/>
      <c r="K983" s="89"/>
    </row>
    <row r="984" spans="1:11" x14ac:dyDescent="0.3">
      <c r="A984" s="89"/>
      <c r="B984" s="89"/>
      <c r="C984" s="89">
        <v>49</v>
      </c>
      <c r="D984" s="89">
        <v>2303058</v>
      </c>
      <c r="E984" s="89" t="s">
        <v>20</v>
      </c>
      <c r="F984" s="89">
        <v>3.04E-2</v>
      </c>
      <c r="G984" s="89">
        <v>0.96960000000000002</v>
      </c>
      <c r="H984" s="89" t="s">
        <v>38</v>
      </c>
      <c r="I984" s="89" t="b">
        <v>0</v>
      </c>
      <c r="J984" s="89"/>
      <c r="K984" s="89"/>
    </row>
    <row r="985" spans="1:11" x14ac:dyDescent="0.3">
      <c r="A985" s="89"/>
      <c r="B985" s="89"/>
      <c r="C985" s="89">
        <v>147</v>
      </c>
      <c r="D985" s="89">
        <v>1706179</v>
      </c>
      <c r="E985" s="89" t="s">
        <v>20</v>
      </c>
      <c r="F985" s="89">
        <v>3.0099999999999998E-2</v>
      </c>
      <c r="G985" s="89">
        <v>0.96989999999999998</v>
      </c>
      <c r="H985" s="89" t="s">
        <v>38</v>
      </c>
      <c r="I985" s="89" t="b">
        <v>0</v>
      </c>
      <c r="J985" s="89"/>
      <c r="K985" s="89"/>
    </row>
    <row r="986" spans="1:11" x14ac:dyDescent="0.3">
      <c r="A986" s="89"/>
      <c r="B986" s="89"/>
      <c r="C986" s="89">
        <v>148</v>
      </c>
      <c r="D986" s="89">
        <v>1706181</v>
      </c>
      <c r="E986" s="89" t="s">
        <v>20</v>
      </c>
      <c r="F986" s="89">
        <v>3.0099999999999998E-2</v>
      </c>
      <c r="G986" s="89">
        <v>0.96989999999999998</v>
      </c>
      <c r="H986" s="89" t="s">
        <v>31</v>
      </c>
      <c r="I986" s="89" t="b">
        <v>0</v>
      </c>
      <c r="J986" s="89"/>
      <c r="K986" s="89"/>
    </row>
    <row r="987" spans="1:11" x14ac:dyDescent="0.3">
      <c r="A987" s="89"/>
      <c r="B987" s="89"/>
      <c r="C987" s="89">
        <v>20</v>
      </c>
      <c r="D987" s="89">
        <v>1706027</v>
      </c>
      <c r="E987" s="89" t="s">
        <v>20</v>
      </c>
      <c r="F987" s="89">
        <v>2.9899999999999999E-2</v>
      </c>
      <c r="G987" s="89">
        <v>0.97009999999999996</v>
      </c>
      <c r="H987" s="89" t="s">
        <v>45</v>
      </c>
      <c r="I987" s="89" t="b">
        <v>0</v>
      </c>
      <c r="J987" s="89"/>
      <c r="K987" s="89"/>
    </row>
    <row r="988" spans="1:11" x14ac:dyDescent="0.3">
      <c r="A988" s="89"/>
      <c r="B988" s="89"/>
      <c r="C988" s="89">
        <v>17</v>
      </c>
      <c r="D988" s="89">
        <v>2303022</v>
      </c>
      <c r="E988" s="89" t="s">
        <v>20</v>
      </c>
      <c r="F988" s="89">
        <v>2.98E-2</v>
      </c>
      <c r="G988" s="89">
        <v>0.97019999999999995</v>
      </c>
      <c r="H988" s="89" t="s">
        <v>31</v>
      </c>
      <c r="I988" s="89" t="b">
        <v>0</v>
      </c>
      <c r="J988" s="89"/>
      <c r="K988" s="89"/>
    </row>
    <row r="989" spans="1:11" x14ac:dyDescent="0.3">
      <c r="A989" s="89"/>
      <c r="B989" s="89"/>
      <c r="C989" s="89">
        <v>197</v>
      </c>
      <c r="D989" s="89">
        <v>1705234</v>
      </c>
      <c r="E989" s="89" t="s">
        <v>20</v>
      </c>
      <c r="F989" s="89">
        <v>2.9700000000000001E-2</v>
      </c>
      <c r="G989" s="89">
        <v>0.97030000000000005</v>
      </c>
      <c r="H989" s="89" t="s">
        <v>38</v>
      </c>
      <c r="I989" s="89" t="b">
        <v>0</v>
      </c>
      <c r="J989" s="89"/>
      <c r="K989" s="89"/>
    </row>
    <row r="990" spans="1:11" x14ac:dyDescent="0.3">
      <c r="A990" s="89"/>
      <c r="B990" s="89"/>
      <c r="C990" s="89">
        <v>263</v>
      </c>
      <c r="D990" s="89">
        <v>2303340</v>
      </c>
      <c r="E990" s="89" t="s">
        <v>20</v>
      </c>
      <c r="F990" s="89">
        <v>2.9700000000000001E-2</v>
      </c>
      <c r="G990" s="89">
        <v>0.97030000000000005</v>
      </c>
      <c r="H990" s="89" t="s">
        <v>31</v>
      </c>
      <c r="I990" s="89" t="b">
        <v>0</v>
      </c>
      <c r="J990" s="89"/>
      <c r="K990" s="89"/>
    </row>
    <row r="991" spans="1:11" x14ac:dyDescent="0.3">
      <c r="A991" s="89"/>
      <c r="B991" s="89"/>
      <c r="C991" s="89">
        <v>72</v>
      </c>
      <c r="D991" s="89">
        <v>2404102</v>
      </c>
      <c r="E991" s="89" t="s">
        <v>20</v>
      </c>
      <c r="F991" s="89">
        <v>2.9700000000000001E-2</v>
      </c>
      <c r="G991" s="89">
        <v>0.97030000000000005</v>
      </c>
      <c r="H991" s="89" t="s">
        <v>38</v>
      </c>
      <c r="I991" s="89" t="b">
        <v>0</v>
      </c>
      <c r="J991" s="89"/>
      <c r="K991" s="89"/>
    </row>
    <row r="992" spans="1:11" x14ac:dyDescent="0.3">
      <c r="A992" s="89"/>
      <c r="B992" s="89"/>
      <c r="C992" s="89">
        <v>32</v>
      </c>
      <c r="D992" s="89">
        <v>1706041</v>
      </c>
      <c r="E992" s="89" t="s">
        <v>20</v>
      </c>
      <c r="F992" s="89">
        <v>2.9600000000000001E-2</v>
      </c>
      <c r="G992" s="89">
        <v>0.97040000000000004</v>
      </c>
      <c r="H992" s="89" t="s">
        <v>38</v>
      </c>
      <c r="I992" s="89" t="b">
        <v>0</v>
      </c>
      <c r="J992" s="89"/>
      <c r="K992" s="89"/>
    </row>
    <row r="993" spans="1:11" x14ac:dyDescent="0.3">
      <c r="A993" s="89"/>
      <c r="B993" s="89"/>
      <c r="C993" s="89">
        <v>128</v>
      </c>
      <c r="D993" s="89">
        <v>1706155</v>
      </c>
      <c r="E993" s="89" t="s">
        <v>20</v>
      </c>
      <c r="F993" s="89">
        <v>2.9600000000000001E-2</v>
      </c>
      <c r="G993" s="89">
        <v>0.97040000000000004</v>
      </c>
      <c r="H993" s="89" t="s">
        <v>38</v>
      </c>
      <c r="I993" s="89" t="b">
        <v>0</v>
      </c>
      <c r="J993" s="89"/>
      <c r="K993" s="89"/>
    </row>
    <row r="994" spans="1:11" x14ac:dyDescent="0.3">
      <c r="A994" s="89"/>
      <c r="B994" s="89"/>
      <c r="C994" s="89">
        <v>200</v>
      </c>
      <c r="D994" s="89">
        <v>1706236</v>
      </c>
      <c r="E994" s="89" t="s">
        <v>20</v>
      </c>
      <c r="F994" s="89">
        <v>2.9600000000000001E-2</v>
      </c>
      <c r="G994" s="89">
        <v>0.97040000000000004</v>
      </c>
      <c r="H994" s="89" t="s">
        <v>38</v>
      </c>
      <c r="I994" s="89" t="b">
        <v>0</v>
      </c>
      <c r="J994" s="89"/>
      <c r="K994" s="89"/>
    </row>
    <row r="995" spans="1:11" x14ac:dyDescent="0.3">
      <c r="A995" s="89"/>
      <c r="B995" s="89"/>
      <c r="C995" s="89">
        <v>124</v>
      </c>
      <c r="D995" s="89">
        <v>2404168</v>
      </c>
      <c r="E995" s="89" t="s">
        <v>20</v>
      </c>
      <c r="F995" s="89">
        <v>2.9600000000000001E-2</v>
      </c>
      <c r="G995" s="89">
        <v>0.97040000000000004</v>
      </c>
      <c r="H995" s="89" t="s">
        <v>38</v>
      </c>
      <c r="I995" s="89" t="b">
        <v>0</v>
      </c>
      <c r="J995" s="89"/>
      <c r="K995" s="89"/>
    </row>
    <row r="996" spans="1:11" x14ac:dyDescent="0.3">
      <c r="A996" s="89"/>
      <c r="B996" s="89"/>
      <c r="C996" s="89">
        <v>97</v>
      </c>
      <c r="D996" s="89">
        <v>2401124</v>
      </c>
      <c r="E996" s="89" t="s">
        <v>20</v>
      </c>
      <c r="F996" s="89">
        <v>2.9100000000000001E-2</v>
      </c>
      <c r="G996" s="89">
        <v>0.97089999999999999</v>
      </c>
      <c r="H996" s="89" t="s">
        <v>31</v>
      </c>
      <c r="I996" s="89" t="b">
        <v>0</v>
      </c>
      <c r="J996" s="89"/>
      <c r="K996" s="89"/>
    </row>
    <row r="997" spans="1:11" x14ac:dyDescent="0.3">
      <c r="A997" s="89"/>
      <c r="B997" s="89"/>
      <c r="C997" s="89">
        <v>208</v>
      </c>
      <c r="D997" s="89">
        <v>2303271</v>
      </c>
      <c r="E997" s="89" t="s">
        <v>20</v>
      </c>
      <c r="F997" s="89">
        <v>2.9000000000000001E-2</v>
      </c>
      <c r="G997" s="89">
        <v>0.97099999999999997</v>
      </c>
      <c r="H997" s="89" t="s">
        <v>38</v>
      </c>
      <c r="I997" s="89" t="b">
        <v>0</v>
      </c>
      <c r="J997" s="89"/>
      <c r="K997" s="89"/>
    </row>
    <row r="998" spans="1:11" x14ac:dyDescent="0.3">
      <c r="A998" s="89"/>
      <c r="B998" s="89"/>
      <c r="C998" s="89">
        <v>57</v>
      </c>
      <c r="D998" s="89">
        <v>2404083</v>
      </c>
      <c r="E998" s="89" t="s">
        <v>20</v>
      </c>
      <c r="F998" s="89">
        <v>2.87E-2</v>
      </c>
      <c r="G998" s="89">
        <v>0.97130000000000005</v>
      </c>
      <c r="H998" s="89" t="s">
        <v>33</v>
      </c>
      <c r="I998" s="89" t="b">
        <v>0</v>
      </c>
      <c r="J998" s="89"/>
      <c r="K998" s="89"/>
    </row>
    <row r="999" spans="1:11" x14ac:dyDescent="0.3">
      <c r="A999" s="89"/>
      <c r="B999" s="89"/>
      <c r="C999" s="89">
        <v>17</v>
      </c>
      <c r="D999" s="89">
        <v>1706024</v>
      </c>
      <c r="E999" s="89" t="s">
        <v>20</v>
      </c>
      <c r="F999" s="89">
        <v>2.86E-2</v>
      </c>
      <c r="G999" s="89">
        <v>0.97140000000000004</v>
      </c>
      <c r="H999" s="89" t="s">
        <v>31</v>
      </c>
      <c r="I999" s="89" t="b">
        <v>0</v>
      </c>
      <c r="J999" s="89"/>
      <c r="K999" s="89"/>
    </row>
    <row r="1000" spans="1:11" x14ac:dyDescent="0.3">
      <c r="A1000" s="89"/>
      <c r="B1000" s="89"/>
      <c r="C1000" s="89">
        <v>26</v>
      </c>
      <c r="D1000" s="89">
        <v>2401036</v>
      </c>
      <c r="E1000" s="89" t="s">
        <v>20</v>
      </c>
      <c r="F1000" s="89">
        <v>2.81E-2</v>
      </c>
      <c r="G1000" s="89">
        <v>0.97189999999999999</v>
      </c>
      <c r="H1000" s="89" t="s">
        <v>46</v>
      </c>
      <c r="I1000" s="89" t="b">
        <v>0</v>
      </c>
      <c r="J1000" s="89"/>
      <c r="K1000" s="89"/>
    </row>
    <row r="1001" spans="1:11" x14ac:dyDescent="0.3">
      <c r="A1001" s="89"/>
      <c r="B1001" s="89"/>
      <c r="C1001" s="89">
        <v>81</v>
      </c>
      <c r="D1001" s="89">
        <v>2404114</v>
      </c>
      <c r="E1001" s="89" t="s">
        <v>20</v>
      </c>
      <c r="F1001" s="89">
        <v>2.81E-2</v>
      </c>
      <c r="G1001" s="89">
        <v>0.97189999999999999</v>
      </c>
      <c r="H1001" s="89" t="s">
        <v>33</v>
      </c>
      <c r="I1001" s="89" t="b">
        <v>0</v>
      </c>
      <c r="J1001" s="89"/>
      <c r="K1001" s="89"/>
    </row>
    <row r="1002" spans="1:11" x14ac:dyDescent="0.3">
      <c r="A1002" s="89"/>
      <c r="B1002" s="89"/>
      <c r="C1002" s="89">
        <v>119</v>
      </c>
      <c r="D1002" s="89">
        <v>2303158</v>
      </c>
      <c r="E1002" s="89" t="s">
        <v>20</v>
      </c>
      <c r="F1002" s="89">
        <v>2.7199999999999998E-2</v>
      </c>
      <c r="G1002" s="89">
        <v>0.9728</v>
      </c>
      <c r="H1002" s="89" t="s">
        <v>38</v>
      </c>
      <c r="I1002" s="89" t="b">
        <v>0</v>
      </c>
      <c r="J1002" s="89"/>
      <c r="K1002" s="89"/>
    </row>
    <row r="1003" spans="1:11" x14ac:dyDescent="0.3">
      <c r="A1003" s="89"/>
      <c r="B1003" s="89"/>
      <c r="C1003" s="89">
        <v>25</v>
      </c>
      <c r="D1003" s="89">
        <v>1706033</v>
      </c>
      <c r="E1003" s="89" t="s">
        <v>20</v>
      </c>
      <c r="F1003" s="89">
        <v>2.7099999999999999E-2</v>
      </c>
      <c r="G1003" s="89">
        <v>0.97289999999999999</v>
      </c>
      <c r="H1003" s="89" t="s">
        <v>38</v>
      </c>
      <c r="I1003" s="89" t="b">
        <v>0</v>
      </c>
      <c r="J1003" s="89"/>
      <c r="K1003" s="89"/>
    </row>
    <row r="1004" spans="1:11" x14ac:dyDescent="0.3">
      <c r="A1004" s="89"/>
      <c r="B1004" s="89"/>
      <c r="C1004" s="89">
        <v>86</v>
      </c>
      <c r="D1004" s="89">
        <v>2401110</v>
      </c>
      <c r="E1004" s="89" t="s">
        <v>20</v>
      </c>
      <c r="F1004" s="89">
        <v>2.7E-2</v>
      </c>
      <c r="G1004" s="89">
        <v>0.97299999999999998</v>
      </c>
      <c r="H1004" s="89" t="s">
        <v>38</v>
      </c>
      <c r="I1004" s="89" t="b">
        <v>0</v>
      </c>
      <c r="J1004" s="89"/>
      <c r="K1004" s="89"/>
    </row>
    <row r="1005" spans="1:11" x14ac:dyDescent="0.3">
      <c r="A1005" s="89"/>
      <c r="B1005" s="89"/>
      <c r="C1005" s="89">
        <v>113</v>
      </c>
      <c r="D1005" s="89">
        <v>1706138</v>
      </c>
      <c r="E1005" s="89" t="s">
        <v>20</v>
      </c>
      <c r="F1005" s="89">
        <v>2.6800000000000001E-2</v>
      </c>
      <c r="G1005" s="89">
        <v>0.97319999999999995</v>
      </c>
      <c r="H1005" s="89" t="s">
        <v>38</v>
      </c>
      <c r="I1005" s="89" t="b">
        <v>0</v>
      </c>
      <c r="J1005" s="89"/>
      <c r="K1005" s="89"/>
    </row>
    <row r="1006" spans="1:11" x14ac:dyDescent="0.3">
      <c r="A1006" s="89"/>
      <c r="B1006" s="89"/>
      <c r="C1006" s="89">
        <v>114</v>
      </c>
      <c r="D1006" s="89">
        <v>1706140</v>
      </c>
      <c r="E1006" s="89" t="s">
        <v>20</v>
      </c>
      <c r="F1006" s="89">
        <v>2.6700000000000002E-2</v>
      </c>
      <c r="G1006" s="89">
        <v>0.97330000000000005</v>
      </c>
      <c r="H1006" s="89" t="s">
        <v>38</v>
      </c>
      <c r="I1006" s="89" t="b">
        <v>0</v>
      </c>
      <c r="J1006" s="89"/>
      <c r="K1006" s="89"/>
    </row>
    <row r="1007" spans="1:11" x14ac:dyDescent="0.3">
      <c r="A1007" s="89"/>
      <c r="B1007" s="89"/>
      <c r="C1007" s="89">
        <v>144</v>
      </c>
      <c r="D1007" s="89">
        <v>1706176</v>
      </c>
      <c r="E1007" s="89" t="s">
        <v>20</v>
      </c>
      <c r="F1007" s="89">
        <v>2.6700000000000002E-2</v>
      </c>
      <c r="G1007" s="89">
        <v>0.97330000000000005</v>
      </c>
      <c r="H1007" s="89" t="s">
        <v>38</v>
      </c>
      <c r="I1007" s="89" t="b">
        <v>0</v>
      </c>
      <c r="J1007" s="89"/>
      <c r="K1007" s="89"/>
    </row>
    <row r="1008" spans="1:11" x14ac:dyDescent="0.3">
      <c r="A1008" s="89"/>
      <c r="B1008" s="89"/>
      <c r="C1008" s="89">
        <v>27</v>
      </c>
      <c r="D1008" s="89">
        <v>2404040</v>
      </c>
      <c r="E1008" s="89" t="s">
        <v>20</v>
      </c>
      <c r="F1008" s="89">
        <v>2.6499999999999999E-2</v>
      </c>
      <c r="G1008" s="89">
        <v>0.97350000000000003</v>
      </c>
      <c r="H1008" s="89" t="s">
        <v>38</v>
      </c>
      <c r="I1008" s="89" t="b">
        <v>0</v>
      </c>
      <c r="J1008" s="89"/>
      <c r="K1008" s="89"/>
    </row>
    <row r="1009" spans="1:11" x14ac:dyDescent="0.3">
      <c r="A1009" s="89"/>
      <c r="B1009" s="89"/>
      <c r="C1009" s="89">
        <v>206</v>
      </c>
      <c r="D1009" s="89">
        <v>1705246</v>
      </c>
      <c r="E1009" s="89" t="s">
        <v>20</v>
      </c>
      <c r="F1009" s="89">
        <v>2.64E-2</v>
      </c>
      <c r="G1009" s="89">
        <v>0.97360000000000002</v>
      </c>
      <c r="H1009" s="89" t="s">
        <v>38</v>
      </c>
      <c r="I1009" s="89" t="b">
        <v>0</v>
      </c>
      <c r="J1009" s="89"/>
      <c r="K1009" s="89"/>
    </row>
    <row r="1010" spans="1:11" x14ac:dyDescent="0.3">
      <c r="A1010" s="89"/>
      <c r="B1010" s="89"/>
      <c r="C1010" s="89">
        <v>280</v>
      </c>
      <c r="D1010" s="89">
        <v>1705367</v>
      </c>
      <c r="E1010" s="89" t="s">
        <v>20</v>
      </c>
      <c r="F1010" s="89">
        <v>2.63E-2</v>
      </c>
      <c r="G1010" s="89">
        <v>0.97370000000000001</v>
      </c>
      <c r="H1010" s="89" t="s">
        <v>38</v>
      </c>
      <c r="I1010" s="89" t="b">
        <v>0</v>
      </c>
      <c r="J1010" s="89"/>
      <c r="K1010" s="89"/>
    </row>
    <row r="1011" spans="1:11" x14ac:dyDescent="0.3">
      <c r="A1011" s="89"/>
      <c r="B1011" s="89"/>
      <c r="C1011" s="89">
        <v>38</v>
      </c>
      <c r="D1011" s="89">
        <v>1706049</v>
      </c>
      <c r="E1011" s="89" t="s">
        <v>20</v>
      </c>
      <c r="F1011" s="89">
        <v>2.63E-2</v>
      </c>
      <c r="G1011" s="89">
        <v>0.97370000000000001</v>
      </c>
      <c r="H1011" s="89" t="s">
        <v>38</v>
      </c>
      <c r="I1011" s="89" t="b">
        <v>0</v>
      </c>
      <c r="J1011" s="89"/>
      <c r="K1011" s="89"/>
    </row>
    <row r="1012" spans="1:11" x14ac:dyDescent="0.3">
      <c r="A1012" s="89"/>
      <c r="B1012" s="89"/>
      <c r="C1012" s="89">
        <v>66</v>
      </c>
      <c r="D1012" s="89">
        <v>2303084</v>
      </c>
      <c r="E1012" s="89" t="s">
        <v>20</v>
      </c>
      <c r="F1012" s="89">
        <v>2.63E-2</v>
      </c>
      <c r="G1012" s="89">
        <v>0.97370000000000001</v>
      </c>
      <c r="H1012" s="89" t="s">
        <v>38</v>
      </c>
      <c r="I1012" s="89" t="b">
        <v>0</v>
      </c>
      <c r="J1012" s="89"/>
      <c r="K1012" s="89"/>
    </row>
    <row r="1013" spans="1:11" x14ac:dyDescent="0.3">
      <c r="A1013" s="89"/>
      <c r="B1013" s="89"/>
      <c r="C1013" s="89">
        <v>17</v>
      </c>
      <c r="D1013" s="89">
        <v>2404024</v>
      </c>
      <c r="E1013" s="89" t="s">
        <v>20</v>
      </c>
      <c r="F1013" s="89">
        <v>2.63E-2</v>
      </c>
      <c r="G1013" s="89">
        <v>0.97370000000000001</v>
      </c>
      <c r="H1013" s="89" t="s">
        <v>26</v>
      </c>
      <c r="I1013" s="89" t="b">
        <v>0</v>
      </c>
      <c r="J1013" s="89"/>
      <c r="K1013" s="89"/>
    </row>
    <row r="1014" spans="1:11" x14ac:dyDescent="0.3">
      <c r="A1014" s="89"/>
      <c r="B1014" s="89"/>
      <c r="C1014" s="89">
        <v>47</v>
      </c>
      <c r="D1014" s="89">
        <v>2404066</v>
      </c>
      <c r="E1014" s="89" t="s">
        <v>20</v>
      </c>
      <c r="F1014" s="89">
        <v>2.63E-2</v>
      </c>
      <c r="G1014" s="89">
        <v>0.97370000000000001</v>
      </c>
      <c r="H1014" s="89" t="s">
        <v>38</v>
      </c>
      <c r="I1014" s="89" t="b">
        <v>0</v>
      </c>
      <c r="J1014" s="89"/>
      <c r="K1014" s="89"/>
    </row>
    <row r="1015" spans="1:11" x14ac:dyDescent="0.3">
      <c r="A1015" s="89"/>
      <c r="B1015" s="89"/>
      <c r="C1015" s="89">
        <v>164</v>
      </c>
      <c r="D1015" s="89">
        <v>1706198</v>
      </c>
      <c r="E1015" s="89" t="s">
        <v>20</v>
      </c>
      <c r="F1015" s="89">
        <v>2.6100000000000002E-2</v>
      </c>
      <c r="G1015" s="89">
        <v>0.97389999999999999</v>
      </c>
      <c r="H1015" s="89" t="s">
        <v>38</v>
      </c>
      <c r="I1015" s="89" t="b">
        <v>0</v>
      </c>
      <c r="J1015" s="89"/>
      <c r="K1015" s="89"/>
    </row>
    <row r="1016" spans="1:11" x14ac:dyDescent="0.3">
      <c r="A1016" s="89"/>
      <c r="B1016" s="89"/>
      <c r="C1016" s="89">
        <v>78</v>
      </c>
      <c r="D1016" s="89">
        <v>2303099</v>
      </c>
      <c r="E1016" s="89" t="s">
        <v>20</v>
      </c>
      <c r="F1016" s="89">
        <v>2.6100000000000002E-2</v>
      </c>
      <c r="G1016" s="89">
        <v>0.97389999999999999</v>
      </c>
      <c r="H1016" s="89" t="s">
        <v>38</v>
      </c>
      <c r="I1016" s="89" t="b">
        <v>0</v>
      </c>
      <c r="J1016" s="89"/>
      <c r="K1016" s="89"/>
    </row>
    <row r="1017" spans="1:11" x14ac:dyDescent="0.3">
      <c r="A1017" s="89"/>
      <c r="B1017" s="89"/>
      <c r="C1017" s="89">
        <v>10</v>
      </c>
      <c r="D1017" s="89">
        <v>2404014</v>
      </c>
      <c r="E1017" s="89" t="s">
        <v>20</v>
      </c>
      <c r="F1017" s="89">
        <v>2.6100000000000002E-2</v>
      </c>
      <c r="G1017" s="89">
        <v>0.97389999999999999</v>
      </c>
      <c r="H1017" s="89" t="s">
        <v>31</v>
      </c>
      <c r="I1017" s="89" t="b">
        <v>0</v>
      </c>
      <c r="J1017" s="89"/>
      <c r="K1017" s="89"/>
    </row>
    <row r="1018" spans="1:11" x14ac:dyDescent="0.3">
      <c r="A1018" s="89"/>
      <c r="B1018" s="89"/>
      <c r="C1018" s="89">
        <v>34</v>
      </c>
      <c r="D1018" s="89">
        <v>1706043</v>
      </c>
      <c r="E1018" s="89" t="s">
        <v>20</v>
      </c>
      <c r="F1018" s="89">
        <v>2.5999999999999999E-2</v>
      </c>
      <c r="G1018" s="89">
        <v>0.97399999999999998</v>
      </c>
      <c r="H1018" s="89" t="s">
        <v>38</v>
      </c>
      <c r="I1018" s="89" t="b">
        <v>0</v>
      </c>
      <c r="J1018" s="89"/>
      <c r="K1018" s="89"/>
    </row>
    <row r="1019" spans="1:11" x14ac:dyDescent="0.3">
      <c r="A1019" s="89"/>
      <c r="B1019" s="89"/>
      <c r="C1019" s="89">
        <v>41</v>
      </c>
      <c r="D1019" s="89">
        <v>1706051</v>
      </c>
      <c r="E1019" s="89" t="s">
        <v>20</v>
      </c>
      <c r="F1019" s="89">
        <v>2.5999999999999999E-2</v>
      </c>
      <c r="G1019" s="89">
        <v>0.97399999999999998</v>
      </c>
      <c r="H1019" s="89" t="s">
        <v>38</v>
      </c>
      <c r="I1019" s="89" t="b">
        <v>0</v>
      </c>
      <c r="J1019" s="89"/>
      <c r="K1019" s="89"/>
    </row>
    <row r="1020" spans="1:11" x14ac:dyDescent="0.3">
      <c r="A1020" s="89"/>
      <c r="B1020" s="89"/>
      <c r="C1020" s="89">
        <v>58</v>
      </c>
      <c r="D1020" s="89">
        <v>2404084</v>
      </c>
      <c r="E1020" s="89" t="s">
        <v>20</v>
      </c>
      <c r="F1020" s="89">
        <v>2.5999999999999999E-2</v>
      </c>
      <c r="G1020" s="89">
        <v>0.97399999999999998</v>
      </c>
      <c r="H1020" s="89" t="s">
        <v>38</v>
      </c>
      <c r="I1020" s="89" t="b">
        <v>0</v>
      </c>
      <c r="J1020" s="89"/>
      <c r="K1020" s="89"/>
    </row>
    <row r="1021" spans="1:11" x14ac:dyDescent="0.3">
      <c r="A1021" s="89"/>
      <c r="B1021" s="89"/>
      <c r="C1021" s="89">
        <v>99</v>
      </c>
      <c r="D1021" s="89">
        <v>2404138</v>
      </c>
      <c r="E1021" s="89" t="s">
        <v>20</v>
      </c>
      <c r="F1021" s="89">
        <v>2.58E-2</v>
      </c>
      <c r="G1021" s="89">
        <v>0.97419999999999995</v>
      </c>
      <c r="H1021" s="89" t="s">
        <v>38</v>
      </c>
      <c r="I1021" s="89" t="b">
        <v>0</v>
      </c>
      <c r="J1021" s="89"/>
      <c r="K1021" s="89"/>
    </row>
    <row r="1022" spans="1:11" x14ac:dyDescent="0.3">
      <c r="A1022" s="89"/>
      <c r="B1022" s="89"/>
      <c r="C1022" s="89">
        <v>125</v>
      </c>
      <c r="D1022" s="89">
        <v>2303166</v>
      </c>
      <c r="E1022" s="89" t="s">
        <v>20</v>
      </c>
      <c r="F1022" s="89">
        <v>2.5700000000000001E-2</v>
      </c>
      <c r="G1022" s="89">
        <v>0.97430000000000005</v>
      </c>
      <c r="H1022" s="89" t="s">
        <v>38</v>
      </c>
      <c r="I1022" s="89" t="b">
        <v>0</v>
      </c>
      <c r="J1022" s="89"/>
      <c r="K1022" s="89"/>
    </row>
    <row r="1023" spans="1:11" x14ac:dyDescent="0.3">
      <c r="A1023" s="89"/>
      <c r="B1023" s="89"/>
      <c r="C1023" s="89">
        <v>49</v>
      </c>
      <c r="D1023" s="89">
        <v>1706062</v>
      </c>
      <c r="E1023" s="89" t="s">
        <v>20</v>
      </c>
      <c r="F1023" s="89">
        <v>2.5499999999999998E-2</v>
      </c>
      <c r="G1023" s="89">
        <v>0.97450000000000003</v>
      </c>
      <c r="H1023" s="89" t="s">
        <v>38</v>
      </c>
      <c r="I1023" s="89" t="b">
        <v>0</v>
      </c>
      <c r="J1023" s="89"/>
      <c r="K1023" s="89"/>
    </row>
    <row r="1024" spans="1:11" x14ac:dyDescent="0.3">
      <c r="A1024" s="89"/>
      <c r="B1024" s="89"/>
      <c r="C1024" s="89">
        <v>18</v>
      </c>
      <c r="D1024" s="89">
        <v>2401024</v>
      </c>
      <c r="E1024" s="89" t="s">
        <v>20</v>
      </c>
      <c r="F1024" s="89">
        <v>2.5399999999999999E-2</v>
      </c>
      <c r="G1024" s="89">
        <v>0.97460000000000002</v>
      </c>
      <c r="H1024" s="89" t="s">
        <v>48</v>
      </c>
      <c r="I1024" s="89" t="b">
        <v>0</v>
      </c>
      <c r="J1024" s="89"/>
      <c r="K1024" s="89"/>
    </row>
    <row r="1025" spans="1:11" x14ac:dyDescent="0.3">
      <c r="A1025" s="89"/>
      <c r="B1025" s="89"/>
      <c r="C1025" s="89">
        <v>299</v>
      </c>
      <c r="D1025" s="89">
        <v>1705403</v>
      </c>
      <c r="E1025" s="89" t="s">
        <v>20</v>
      </c>
      <c r="F1025" s="89">
        <v>2.5100000000000001E-2</v>
      </c>
      <c r="G1025" s="89">
        <v>0.97489999999999999</v>
      </c>
      <c r="H1025" s="89" t="s">
        <v>31</v>
      </c>
      <c r="I1025" s="89" t="b">
        <v>0</v>
      </c>
      <c r="J1025" s="89"/>
      <c r="K1025" s="89"/>
    </row>
    <row r="1026" spans="1:11" x14ac:dyDescent="0.3">
      <c r="A1026" s="89"/>
      <c r="B1026" s="89"/>
      <c r="C1026" s="89">
        <v>190</v>
      </c>
      <c r="D1026" s="89">
        <v>1705226</v>
      </c>
      <c r="E1026" s="89" t="s">
        <v>20</v>
      </c>
      <c r="F1026" s="89">
        <v>2.3699999999999999E-2</v>
      </c>
      <c r="G1026" s="89">
        <v>0.97629999999999995</v>
      </c>
      <c r="H1026" s="89" t="s">
        <v>38</v>
      </c>
      <c r="I1026" s="89" t="b">
        <v>0</v>
      </c>
      <c r="J1026" s="89"/>
      <c r="K1026" s="89"/>
    </row>
    <row r="1027" spans="1:11" x14ac:dyDescent="0.3">
      <c r="A1027" s="89"/>
      <c r="B1027" s="89"/>
      <c r="C1027" s="89">
        <v>47</v>
      </c>
      <c r="D1027" s="89">
        <v>1706060</v>
      </c>
      <c r="E1027" s="89" t="s">
        <v>20</v>
      </c>
      <c r="F1027" s="89">
        <v>2.2499999999999999E-2</v>
      </c>
      <c r="G1027" s="89">
        <v>0.97750000000000004</v>
      </c>
      <c r="H1027" s="89" t="s">
        <v>38</v>
      </c>
      <c r="I1027" s="89" t="b">
        <v>0</v>
      </c>
      <c r="J1027" s="89"/>
      <c r="K1027" s="89"/>
    </row>
    <row r="1028" spans="1:11" x14ac:dyDescent="0.3">
      <c r="A1028" s="89"/>
      <c r="B1028" s="89"/>
      <c r="C1028" s="89">
        <v>43</v>
      </c>
      <c r="D1028" s="89">
        <v>2401057</v>
      </c>
      <c r="E1028" s="89" t="s">
        <v>20</v>
      </c>
      <c r="F1028" s="89">
        <v>2.24E-2</v>
      </c>
      <c r="G1028" s="89">
        <v>0.97760000000000002</v>
      </c>
      <c r="H1028" s="89" t="s">
        <v>33</v>
      </c>
      <c r="I1028" s="89" t="b">
        <v>0</v>
      </c>
      <c r="J1028" s="89"/>
      <c r="K1028" s="89"/>
    </row>
    <row r="1029" spans="1:11" x14ac:dyDescent="0.3">
      <c r="A1029" s="89"/>
      <c r="B1029" s="89"/>
      <c r="C1029" s="89">
        <v>63</v>
      </c>
      <c r="D1029" s="89">
        <v>2404089</v>
      </c>
      <c r="E1029" s="89" t="s">
        <v>20</v>
      </c>
      <c r="F1029" s="89">
        <v>2.2200000000000001E-2</v>
      </c>
      <c r="G1029" s="89">
        <v>0.9778</v>
      </c>
      <c r="H1029" s="89" t="s">
        <v>38</v>
      </c>
      <c r="I1029" s="89" t="b">
        <v>0</v>
      </c>
      <c r="J1029" s="89"/>
      <c r="K1029" s="89"/>
    </row>
    <row r="1030" spans="1:11" x14ac:dyDescent="0.3">
      <c r="A1030" s="89"/>
      <c r="B1030" s="89"/>
      <c r="C1030" s="89">
        <v>165</v>
      </c>
      <c r="D1030" s="89">
        <v>1706199</v>
      </c>
      <c r="E1030" s="89" t="s">
        <v>20</v>
      </c>
      <c r="F1030" s="89">
        <v>2.1499999999999998E-2</v>
      </c>
      <c r="G1030" s="89">
        <v>0.97850000000000004</v>
      </c>
      <c r="H1030" s="89" t="s">
        <v>38</v>
      </c>
      <c r="I1030" s="89" t="b">
        <v>0</v>
      </c>
      <c r="J1030" s="89"/>
      <c r="K1030" s="89"/>
    </row>
    <row r="1031" spans="1:11" x14ac:dyDescent="0.3">
      <c r="A1031" s="89"/>
      <c r="B1031" s="89"/>
      <c r="C1031" s="89">
        <v>69</v>
      </c>
      <c r="D1031" s="89">
        <v>1705080</v>
      </c>
      <c r="E1031" s="89" t="s">
        <v>20</v>
      </c>
      <c r="F1031" s="89">
        <v>2.1399999999999999E-2</v>
      </c>
      <c r="G1031" s="89">
        <v>0.97860000000000003</v>
      </c>
      <c r="H1031" s="89" t="s">
        <v>31</v>
      </c>
      <c r="I1031" s="89" t="b">
        <v>0</v>
      </c>
      <c r="J1031" s="89"/>
      <c r="K1031" s="89"/>
    </row>
    <row r="1032" spans="1:11" x14ac:dyDescent="0.3">
      <c r="A1032" s="89"/>
      <c r="B1032" s="89"/>
      <c r="C1032" s="89">
        <v>275</v>
      </c>
      <c r="D1032" s="89">
        <v>1705352</v>
      </c>
      <c r="E1032" s="89" t="s">
        <v>20</v>
      </c>
      <c r="F1032" s="89">
        <v>2.1399999999999999E-2</v>
      </c>
      <c r="G1032" s="89">
        <v>0.97860000000000003</v>
      </c>
      <c r="H1032" s="89" t="s">
        <v>38</v>
      </c>
      <c r="I1032" s="89" t="b">
        <v>0</v>
      </c>
      <c r="J1032" s="89"/>
      <c r="K1032" s="89"/>
    </row>
    <row r="1033" spans="1:11" x14ac:dyDescent="0.3">
      <c r="A1033" s="89"/>
      <c r="B1033" s="89"/>
      <c r="C1033" s="89">
        <v>108</v>
      </c>
      <c r="D1033" s="89">
        <v>1705128</v>
      </c>
      <c r="E1033" s="89" t="s">
        <v>20</v>
      </c>
      <c r="F1033" s="89">
        <v>2.1299999999999999E-2</v>
      </c>
      <c r="G1033" s="89">
        <v>0.97870000000000001</v>
      </c>
      <c r="H1033" s="89" t="s">
        <v>31</v>
      </c>
      <c r="I1033" s="89" t="b">
        <v>0</v>
      </c>
      <c r="J1033" s="89"/>
      <c r="K1033" s="89"/>
    </row>
    <row r="1034" spans="1:11" x14ac:dyDescent="0.3">
      <c r="A1034" s="89"/>
      <c r="B1034" s="89"/>
      <c r="C1034" s="89">
        <v>12</v>
      </c>
      <c r="D1034" s="89">
        <v>1705013</v>
      </c>
      <c r="E1034" s="89" t="s">
        <v>20</v>
      </c>
      <c r="F1034" s="89">
        <v>2.0400000000000001E-2</v>
      </c>
      <c r="G1034" s="89">
        <v>0.97960000000000003</v>
      </c>
      <c r="H1034" s="89" t="s">
        <v>38</v>
      </c>
      <c r="I1034" s="89" t="b">
        <v>0</v>
      </c>
      <c r="J1034" s="89"/>
      <c r="K1034" s="89"/>
    </row>
    <row r="1035" spans="1:11" x14ac:dyDescent="0.3">
      <c r="A1035" s="89"/>
      <c r="B1035" s="89"/>
      <c r="C1035" s="89">
        <v>71</v>
      </c>
      <c r="D1035" s="89">
        <v>1706090</v>
      </c>
      <c r="E1035" s="89" t="s">
        <v>20</v>
      </c>
      <c r="F1035" s="89">
        <v>2.01E-2</v>
      </c>
      <c r="G1035" s="89">
        <v>0.97989999999999999</v>
      </c>
      <c r="H1035" s="89" t="s">
        <v>38</v>
      </c>
      <c r="I1035" s="89" t="b">
        <v>0</v>
      </c>
      <c r="J1035" s="89"/>
      <c r="K1035" s="89"/>
    </row>
    <row r="1036" spans="1:11" x14ac:dyDescent="0.3">
      <c r="A1036" s="89"/>
      <c r="B1036" s="89"/>
      <c r="C1036" s="89">
        <v>85</v>
      </c>
      <c r="D1036" s="89">
        <v>2404118</v>
      </c>
      <c r="E1036" s="89" t="s">
        <v>20</v>
      </c>
      <c r="F1036" s="89">
        <v>1.9599999999999999E-2</v>
      </c>
      <c r="G1036" s="89">
        <v>0.98040000000000005</v>
      </c>
      <c r="H1036" s="89" t="s">
        <v>38</v>
      </c>
      <c r="I1036" s="89" t="b">
        <v>0</v>
      </c>
      <c r="J1036" s="89"/>
      <c r="K1036" s="89"/>
    </row>
    <row r="1037" spans="1:11" x14ac:dyDescent="0.3">
      <c r="A1037" s="89"/>
      <c r="B1037" s="89"/>
      <c r="C1037" s="89">
        <v>7</v>
      </c>
      <c r="D1037" s="89">
        <v>2404011</v>
      </c>
      <c r="E1037" s="89" t="s">
        <v>20</v>
      </c>
      <c r="F1037" s="89">
        <v>1.9400000000000001E-2</v>
      </c>
      <c r="G1037" s="89">
        <v>0.98060000000000003</v>
      </c>
      <c r="H1037" s="89" t="s">
        <v>33</v>
      </c>
      <c r="I1037" s="89" t="b">
        <v>0</v>
      </c>
      <c r="J1037" s="89"/>
      <c r="K1037" s="89"/>
    </row>
    <row r="1038" spans="1:11" x14ac:dyDescent="0.3">
      <c r="A1038" s="89"/>
      <c r="B1038" s="89"/>
      <c r="C1038" s="89">
        <v>149</v>
      </c>
      <c r="D1038" s="89">
        <v>1705172</v>
      </c>
      <c r="E1038" s="89" t="s">
        <v>20</v>
      </c>
      <c r="F1038" s="89">
        <v>1.89E-2</v>
      </c>
      <c r="G1038" s="89">
        <v>0.98109999999999997</v>
      </c>
      <c r="H1038" s="89" t="s">
        <v>31</v>
      </c>
      <c r="I1038" s="89" t="b">
        <v>0</v>
      </c>
      <c r="J1038" s="89"/>
      <c r="K1038" s="89"/>
    </row>
    <row r="1039" spans="1:11" x14ac:dyDescent="0.3">
      <c r="A1039" s="89"/>
      <c r="B1039" s="89"/>
      <c r="C1039" s="89">
        <v>48</v>
      </c>
      <c r="D1039" s="89">
        <v>1706061</v>
      </c>
      <c r="E1039" s="89" t="s">
        <v>20</v>
      </c>
      <c r="F1039" s="89">
        <v>1.8800000000000001E-2</v>
      </c>
      <c r="G1039" s="89">
        <v>0.98119999999999996</v>
      </c>
      <c r="H1039" s="89" t="s">
        <v>54</v>
      </c>
      <c r="I1039" s="89" t="b">
        <v>0</v>
      </c>
      <c r="J1039" s="89"/>
      <c r="K1039" s="89"/>
    </row>
    <row r="1040" spans="1:11" x14ac:dyDescent="0.3">
      <c r="A1040" s="89"/>
      <c r="B1040" s="89"/>
      <c r="C1040" s="89">
        <v>37</v>
      </c>
      <c r="D1040" s="89">
        <v>2401050</v>
      </c>
      <c r="E1040" s="89" t="s">
        <v>20</v>
      </c>
      <c r="F1040" s="89">
        <v>1.8800000000000001E-2</v>
      </c>
      <c r="G1040" s="89">
        <v>0.98119999999999996</v>
      </c>
      <c r="H1040" s="89" t="s">
        <v>52</v>
      </c>
      <c r="I1040" s="89" t="b">
        <v>0</v>
      </c>
      <c r="J1040" s="89"/>
      <c r="K1040" s="89"/>
    </row>
    <row r="1041" spans="1:11" x14ac:dyDescent="0.3">
      <c r="A1041" s="89"/>
      <c r="B1041" s="89"/>
      <c r="C1041" s="89">
        <v>213</v>
      </c>
      <c r="D1041" s="89">
        <v>1705254</v>
      </c>
      <c r="E1041" s="89" t="s">
        <v>20</v>
      </c>
      <c r="F1041" s="89">
        <v>1.8700000000000001E-2</v>
      </c>
      <c r="G1041" s="89">
        <v>0.98129999999999995</v>
      </c>
      <c r="H1041" s="89" t="s">
        <v>38</v>
      </c>
      <c r="I1041" s="89" t="b">
        <v>0</v>
      </c>
      <c r="J1041" s="89"/>
      <c r="K1041" s="89"/>
    </row>
    <row r="1042" spans="1:11" x14ac:dyDescent="0.3">
      <c r="A1042" s="89"/>
      <c r="B1042" s="89"/>
      <c r="C1042" s="89">
        <v>243</v>
      </c>
      <c r="D1042" s="89">
        <v>1705304</v>
      </c>
      <c r="E1042" s="89" t="s">
        <v>20</v>
      </c>
      <c r="F1042" s="89">
        <v>1.8200000000000001E-2</v>
      </c>
      <c r="G1042" s="89">
        <v>0.98180000000000001</v>
      </c>
      <c r="H1042" s="89" t="s">
        <v>38</v>
      </c>
      <c r="I1042" s="89" t="b">
        <v>0</v>
      </c>
      <c r="J1042" s="89"/>
      <c r="K1042" s="89"/>
    </row>
    <row r="1043" spans="1:11" x14ac:dyDescent="0.3">
      <c r="A1043" s="89"/>
      <c r="B1043" s="89"/>
      <c r="C1043" s="89">
        <v>254</v>
      </c>
      <c r="D1043" s="89">
        <v>1706325</v>
      </c>
      <c r="E1043" s="89" t="s">
        <v>20</v>
      </c>
      <c r="F1043" s="89">
        <v>1.7999999999999999E-2</v>
      </c>
      <c r="G1043" s="89">
        <v>0.98199999999999998</v>
      </c>
      <c r="H1043" s="89" t="s">
        <v>38</v>
      </c>
      <c r="I1043" s="89" t="b">
        <v>0</v>
      </c>
      <c r="J1043" s="89"/>
      <c r="K1043" s="89"/>
    </row>
    <row r="1044" spans="1:11" x14ac:dyDescent="0.3">
      <c r="A1044" s="89"/>
      <c r="B1044" s="89"/>
      <c r="C1044" s="89">
        <v>255</v>
      </c>
      <c r="D1044" s="89">
        <v>1706326</v>
      </c>
      <c r="E1044" s="89" t="s">
        <v>20</v>
      </c>
      <c r="F1044" s="89">
        <v>1.7600000000000001E-2</v>
      </c>
      <c r="G1044" s="89">
        <v>0.98240000000000005</v>
      </c>
      <c r="H1044" s="89" t="s">
        <v>38</v>
      </c>
      <c r="I1044" s="89" t="b">
        <v>0</v>
      </c>
      <c r="J1044" s="89"/>
      <c r="K1044" s="89"/>
    </row>
    <row r="1045" spans="1:11" x14ac:dyDescent="0.3">
      <c r="A1045" s="89"/>
      <c r="B1045" s="89"/>
      <c r="C1045" s="89">
        <v>108</v>
      </c>
      <c r="D1045" s="89">
        <v>2401137</v>
      </c>
      <c r="E1045" s="89" t="s">
        <v>20</v>
      </c>
      <c r="F1045" s="89">
        <v>1.7399999999999999E-2</v>
      </c>
      <c r="G1045" s="89">
        <v>0.98260000000000003</v>
      </c>
      <c r="H1045" s="89" t="s">
        <v>31</v>
      </c>
      <c r="I1045" s="89" t="b">
        <v>0</v>
      </c>
      <c r="J1045" s="89"/>
      <c r="K1045" s="89"/>
    </row>
    <row r="1046" spans="1:11" x14ac:dyDescent="0.3">
      <c r="A1046" s="89"/>
      <c r="B1046" s="89"/>
      <c r="C1046" s="89">
        <v>56</v>
      </c>
      <c r="D1046" s="89">
        <v>2404082</v>
      </c>
      <c r="E1046" s="89" t="s">
        <v>20</v>
      </c>
      <c r="F1046" s="89">
        <v>1.7100000000000001E-2</v>
      </c>
      <c r="G1046" s="89">
        <v>0.9829</v>
      </c>
      <c r="H1046" s="89" t="s">
        <v>38</v>
      </c>
      <c r="I1046" s="89" t="b">
        <v>0</v>
      </c>
      <c r="J1046" s="89"/>
      <c r="K1046" s="89"/>
    </row>
    <row r="1047" spans="1:11" x14ac:dyDescent="0.3">
      <c r="A1047" s="89"/>
      <c r="B1047" s="89"/>
      <c r="C1047" s="89">
        <v>156</v>
      </c>
      <c r="D1047" s="89">
        <v>1705181</v>
      </c>
      <c r="E1047" s="89" t="s">
        <v>20</v>
      </c>
      <c r="F1047" s="89">
        <v>1.67E-2</v>
      </c>
      <c r="G1047" s="89">
        <v>0.98329999999999995</v>
      </c>
      <c r="H1047" s="89" t="s">
        <v>38</v>
      </c>
      <c r="I1047" s="89" t="b">
        <v>0</v>
      </c>
      <c r="J1047" s="89"/>
      <c r="K1047" s="89"/>
    </row>
    <row r="1048" spans="1:11" x14ac:dyDescent="0.3">
      <c r="A1048" s="89"/>
      <c r="B1048" s="89"/>
      <c r="C1048" s="89">
        <v>140</v>
      </c>
      <c r="D1048" s="89">
        <v>2303187</v>
      </c>
      <c r="E1048" s="89" t="s">
        <v>20</v>
      </c>
      <c r="F1048" s="89">
        <v>1.67E-2</v>
      </c>
      <c r="G1048" s="89">
        <v>0.98329999999999995</v>
      </c>
      <c r="H1048" s="89" t="s">
        <v>38</v>
      </c>
      <c r="I1048" s="89" t="b">
        <v>0</v>
      </c>
      <c r="J1048" s="89"/>
      <c r="K1048" s="89"/>
    </row>
    <row r="1049" spans="1:11" x14ac:dyDescent="0.3">
      <c r="A1049" s="89"/>
      <c r="B1049" s="89"/>
      <c r="C1049" s="89">
        <v>42</v>
      </c>
      <c r="D1049" s="89">
        <v>1706054</v>
      </c>
      <c r="E1049" s="89" t="s">
        <v>20</v>
      </c>
      <c r="F1049" s="89">
        <v>1.66E-2</v>
      </c>
      <c r="G1049" s="89">
        <v>0.98340000000000005</v>
      </c>
      <c r="H1049" s="89" t="s">
        <v>38</v>
      </c>
      <c r="I1049" s="89" t="b">
        <v>0</v>
      </c>
      <c r="J1049" s="89"/>
      <c r="K1049" s="89"/>
    </row>
    <row r="1050" spans="1:11" x14ac:dyDescent="0.3">
      <c r="A1050" s="89"/>
      <c r="B1050" s="89"/>
      <c r="C1050" s="89">
        <v>207</v>
      </c>
      <c r="D1050" s="89">
        <v>2303270</v>
      </c>
      <c r="E1050" s="89" t="s">
        <v>20</v>
      </c>
      <c r="F1050" s="89">
        <v>1.6400000000000001E-2</v>
      </c>
      <c r="G1050" s="89">
        <v>0.98360000000000003</v>
      </c>
      <c r="H1050" s="89" t="s">
        <v>38</v>
      </c>
      <c r="I1050" s="89" t="b">
        <v>0</v>
      </c>
      <c r="J1050" s="89"/>
      <c r="K1050" s="89"/>
    </row>
    <row r="1051" spans="1:11" x14ac:dyDescent="0.3">
      <c r="A1051" s="89"/>
      <c r="B1051" s="89"/>
      <c r="C1051" s="89">
        <v>21</v>
      </c>
      <c r="D1051" s="89">
        <v>1705022</v>
      </c>
      <c r="E1051" s="89" t="s">
        <v>20</v>
      </c>
      <c r="F1051" s="89">
        <v>1.6199999999999999E-2</v>
      </c>
      <c r="G1051" s="89">
        <v>0.98380000000000001</v>
      </c>
      <c r="H1051" s="89" t="s">
        <v>31</v>
      </c>
      <c r="I1051" s="89" t="b">
        <v>0</v>
      </c>
      <c r="J1051" s="89"/>
      <c r="K1051" s="89"/>
    </row>
    <row r="1052" spans="1:11" x14ac:dyDescent="0.3">
      <c r="A1052" s="89"/>
      <c r="B1052" s="89"/>
      <c r="C1052" s="89">
        <v>250</v>
      </c>
      <c r="D1052" s="89">
        <v>2303327</v>
      </c>
      <c r="E1052" s="89" t="s">
        <v>20</v>
      </c>
      <c r="F1052" s="89">
        <v>1.6E-2</v>
      </c>
      <c r="G1052" s="89">
        <v>0.98399999999999999</v>
      </c>
      <c r="H1052" s="89" t="s">
        <v>38</v>
      </c>
      <c r="I1052" s="89" t="b">
        <v>0</v>
      </c>
      <c r="J1052" s="89"/>
      <c r="K1052" s="89"/>
    </row>
    <row r="1053" spans="1:11" x14ac:dyDescent="0.3">
      <c r="A1053" s="89"/>
      <c r="B1053" s="89"/>
      <c r="C1053" s="89">
        <v>54</v>
      </c>
      <c r="D1053" s="89">
        <v>2303065</v>
      </c>
      <c r="E1053" s="89" t="s">
        <v>20</v>
      </c>
      <c r="F1053" s="89">
        <v>1.55E-2</v>
      </c>
      <c r="G1053" s="89">
        <v>0.98450000000000004</v>
      </c>
      <c r="H1053" s="89" t="s">
        <v>31</v>
      </c>
      <c r="I1053" s="89" t="b">
        <v>0</v>
      </c>
      <c r="J1053" s="89"/>
      <c r="K1053" s="89"/>
    </row>
    <row r="1054" spans="1:11" x14ac:dyDescent="0.3">
      <c r="A1054" s="89"/>
      <c r="B1054" s="89"/>
      <c r="C1054" s="89">
        <v>57</v>
      </c>
      <c r="D1054" s="89">
        <v>2303068</v>
      </c>
      <c r="E1054" s="89" t="s">
        <v>20</v>
      </c>
      <c r="F1054" s="89">
        <v>1.5299999999999999E-2</v>
      </c>
      <c r="G1054" s="89">
        <v>0.98470000000000002</v>
      </c>
      <c r="H1054" s="89" t="s">
        <v>38</v>
      </c>
      <c r="I1054" s="89" t="b">
        <v>0</v>
      </c>
      <c r="J1054" s="89"/>
      <c r="K1054" s="89"/>
    </row>
    <row r="1055" spans="1:11" x14ac:dyDescent="0.3">
      <c r="A1055" s="89"/>
      <c r="B1055" s="89"/>
      <c r="C1055" s="89">
        <v>103</v>
      </c>
      <c r="D1055" s="89">
        <v>2401132</v>
      </c>
      <c r="E1055" s="89" t="s">
        <v>20</v>
      </c>
      <c r="F1055" s="89">
        <v>1.5100000000000001E-2</v>
      </c>
      <c r="G1055" s="89">
        <v>0.9849</v>
      </c>
      <c r="H1055" s="89" t="s">
        <v>38</v>
      </c>
      <c r="I1055" s="89" t="b">
        <v>0</v>
      </c>
      <c r="J1055" s="89"/>
      <c r="K1055" s="89"/>
    </row>
    <row r="1056" spans="1:11" x14ac:dyDescent="0.3">
      <c r="A1056" s="89"/>
      <c r="B1056" s="89"/>
      <c r="C1056" s="89">
        <v>87</v>
      </c>
      <c r="D1056" s="89">
        <v>2401111</v>
      </c>
      <c r="E1056" s="89" t="s">
        <v>20</v>
      </c>
      <c r="F1056" s="89">
        <v>1.41E-2</v>
      </c>
      <c r="G1056" s="89">
        <v>0.9859</v>
      </c>
      <c r="H1056" s="89" t="s">
        <v>38</v>
      </c>
      <c r="I1056" s="89" t="b">
        <v>0</v>
      </c>
      <c r="J1056" s="89"/>
      <c r="K1056" s="89"/>
    </row>
    <row r="1057" spans="1:11" x14ac:dyDescent="0.3">
      <c r="A1057" s="89"/>
      <c r="B1057" s="89"/>
      <c r="C1057" s="89">
        <v>33</v>
      </c>
      <c r="D1057" s="89">
        <v>1705037</v>
      </c>
      <c r="E1057" s="89" t="s">
        <v>20</v>
      </c>
      <c r="F1057" s="89">
        <v>1.3899999999999999E-2</v>
      </c>
      <c r="G1057" s="89">
        <v>0.98609999999999998</v>
      </c>
      <c r="H1057" s="89" t="s">
        <v>31</v>
      </c>
      <c r="I1057" s="89" t="b">
        <v>0</v>
      </c>
      <c r="J1057" s="89"/>
      <c r="K1057" s="89"/>
    </row>
    <row r="1058" spans="1:11" x14ac:dyDescent="0.3">
      <c r="A1058" s="89"/>
      <c r="B1058" s="89"/>
      <c r="C1058" s="89">
        <v>20</v>
      </c>
      <c r="D1058" s="89">
        <v>1705021</v>
      </c>
      <c r="E1058" s="89" t="s">
        <v>20</v>
      </c>
      <c r="F1058" s="89">
        <v>1.3599999999999999E-2</v>
      </c>
      <c r="G1058" s="89">
        <v>0.98640000000000005</v>
      </c>
      <c r="H1058" s="89" t="s">
        <v>38</v>
      </c>
      <c r="I1058" s="89" t="b">
        <v>0</v>
      </c>
      <c r="J1058" s="89"/>
      <c r="K1058" s="89"/>
    </row>
    <row r="1059" spans="1:11" x14ac:dyDescent="0.3">
      <c r="A1059" s="89"/>
      <c r="B1059" s="89"/>
      <c r="C1059" s="89">
        <v>42</v>
      </c>
      <c r="D1059" s="89">
        <v>2401056</v>
      </c>
      <c r="E1059" s="89" t="s">
        <v>20</v>
      </c>
      <c r="F1059" s="89">
        <v>1.3299999999999999E-2</v>
      </c>
      <c r="G1059" s="89">
        <v>0.98670000000000002</v>
      </c>
      <c r="H1059" s="89" t="s">
        <v>38</v>
      </c>
      <c r="I1059" s="89" t="b">
        <v>0</v>
      </c>
      <c r="J1059" s="89"/>
      <c r="K1059" s="89"/>
    </row>
    <row r="1060" spans="1:11" x14ac:dyDescent="0.3">
      <c r="A1060" s="89"/>
      <c r="B1060" s="89"/>
      <c r="C1060" s="89">
        <v>283</v>
      </c>
      <c r="D1060" s="89">
        <v>1705382</v>
      </c>
      <c r="E1060" s="89" t="s">
        <v>20</v>
      </c>
      <c r="F1060" s="89">
        <v>1.29E-2</v>
      </c>
      <c r="G1060" s="89">
        <v>0.98709999999999998</v>
      </c>
      <c r="H1060" s="89" t="s">
        <v>38</v>
      </c>
      <c r="I1060" s="89" t="b">
        <v>0</v>
      </c>
      <c r="J1060" s="89"/>
      <c r="K1060" s="89"/>
    </row>
    <row r="1061" spans="1:11" x14ac:dyDescent="0.3">
      <c r="A1061" s="89"/>
      <c r="B1061" s="89"/>
      <c r="C1061" s="89">
        <v>150</v>
      </c>
      <c r="D1061" s="89">
        <v>1706183</v>
      </c>
      <c r="E1061" s="89" t="s">
        <v>20</v>
      </c>
      <c r="F1061" s="89">
        <v>1.2699999999999999E-2</v>
      </c>
      <c r="G1061" s="89">
        <v>0.98729999999999996</v>
      </c>
      <c r="H1061" s="89" t="s">
        <v>38</v>
      </c>
      <c r="I1061" s="89" t="b">
        <v>0</v>
      </c>
      <c r="J1061" s="89"/>
      <c r="K1061" s="89"/>
    </row>
    <row r="1062" spans="1:11" x14ac:dyDescent="0.3">
      <c r="A1062" s="89"/>
      <c r="B1062" s="89"/>
      <c r="C1062" s="89">
        <v>100</v>
      </c>
      <c r="D1062" s="89">
        <v>2401128</v>
      </c>
      <c r="E1062" s="89" t="s">
        <v>20</v>
      </c>
      <c r="F1062" s="89">
        <v>1.24E-2</v>
      </c>
      <c r="G1062" s="89">
        <v>0.98760000000000003</v>
      </c>
      <c r="H1062" s="89" t="s">
        <v>38</v>
      </c>
      <c r="I1062" s="89" t="b">
        <v>0</v>
      </c>
      <c r="J1062" s="89"/>
      <c r="K1062" s="89"/>
    </row>
    <row r="1063" spans="1:11" x14ac:dyDescent="0.3">
      <c r="A1063" s="89"/>
      <c r="B1063" s="89"/>
      <c r="C1063" s="89">
        <v>33</v>
      </c>
      <c r="D1063" s="89">
        <v>2401046</v>
      </c>
      <c r="E1063" s="89" t="s">
        <v>20</v>
      </c>
      <c r="F1063" s="89">
        <v>1.14E-2</v>
      </c>
      <c r="G1063" s="89">
        <v>0.98860000000000003</v>
      </c>
      <c r="H1063" s="89" t="s">
        <v>38</v>
      </c>
      <c r="I1063" s="89" t="b">
        <v>0</v>
      </c>
      <c r="J1063" s="89"/>
      <c r="K1063" s="89"/>
    </row>
    <row r="1064" spans="1:11" x14ac:dyDescent="0.3">
      <c r="A1064" s="89"/>
      <c r="B1064" s="89"/>
      <c r="C1064" s="89">
        <v>81</v>
      </c>
      <c r="D1064" s="89">
        <v>2401103</v>
      </c>
      <c r="E1064" s="89" t="s">
        <v>20</v>
      </c>
      <c r="F1064" s="89">
        <v>1.0800000000000001E-2</v>
      </c>
      <c r="G1064" s="89">
        <v>0.98919999999999997</v>
      </c>
      <c r="H1064" s="89" t="s">
        <v>38</v>
      </c>
      <c r="I1064" s="89" t="b">
        <v>0</v>
      </c>
      <c r="J1064" s="89"/>
      <c r="K1064" s="89"/>
    </row>
    <row r="1065" spans="1:11" x14ac:dyDescent="0.3">
      <c r="A1065" s="89"/>
      <c r="B1065" s="89"/>
      <c r="C1065" s="89">
        <v>211</v>
      </c>
      <c r="D1065" s="89">
        <v>1705251</v>
      </c>
      <c r="E1065" s="89" t="s">
        <v>20</v>
      </c>
      <c r="F1065" s="89">
        <v>8.8999999999999999E-3</v>
      </c>
      <c r="G1065" s="89">
        <v>0.99109999999999998</v>
      </c>
      <c r="H1065" s="89" t="s">
        <v>38</v>
      </c>
      <c r="I1065" s="89" t="b">
        <v>0</v>
      </c>
      <c r="J1065" s="89"/>
      <c r="K1065" s="89"/>
    </row>
    <row r="1066" spans="1:11" x14ac:dyDescent="0.3">
      <c r="A1066" s="89"/>
      <c r="B1066" s="89"/>
      <c r="C1066" s="10">
        <v>6</v>
      </c>
      <c r="D1066" s="10">
        <v>1705006</v>
      </c>
      <c r="E1066" s="10" t="s">
        <v>20</v>
      </c>
      <c r="F1066" s="10">
        <v>0.16259999999999999</v>
      </c>
      <c r="G1066" s="10">
        <v>0.83740000000000003</v>
      </c>
      <c r="H1066" s="10" t="s">
        <v>51</v>
      </c>
      <c r="I1066" s="10" t="b">
        <v>0</v>
      </c>
      <c r="J1066" s="89"/>
      <c r="K1066" s="89"/>
    </row>
    <row r="1067" spans="1:11" x14ac:dyDescent="0.3">
      <c r="C1067" s="10">
        <v>74</v>
      </c>
      <c r="D1067" s="10">
        <v>1705086</v>
      </c>
      <c r="E1067" s="10" t="s">
        <v>20</v>
      </c>
      <c r="F1067" s="10">
        <v>0.13100000000000001</v>
      </c>
      <c r="G1067" s="10">
        <v>0.86899999999999999</v>
      </c>
      <c r="H1067" s="10" t="s">
        <v>54</v>
      </c>
      <c r="I1067" s="10" t="b">
        <v>0</v>
      </c>
    </row>
    <row r="1068" spans="1:11" x14ac:dyDescent="0.3">
      <c r="C1068" s="10">
        <v>114</v>
      </c>
      <c r="D1068" s="10">
        <v>1706139</v>
      </c>
      <c r="E1068" s="10" t="s">
        <v>20</v>
      </c>
      <c r="F1068" s="10">
        <v>0.29899999999999999</v>
      </c>
      <c r="G1068" s="10">
        <v>0.70099999999999996</v>
      </c>
      <c r="H1068" s="10" t="s">
        <v>49</v>
      </c>
      <c r="I1068" s="10" t="b">
        <v>0</v>
      </c>
    </row>
  </sheetData>
  <autoFilter ref="A1:K1065" xr:uid="{F38A2E05-AA54-474F-938B-CD44A2A29D56}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4AB1-8324-4AD3-B56A-93DBD389AAB2}">
  <dimension ref="A1:U15"/>
  <sheetViews>
    <sheetView workbookViewId="0">
      <selection activeCell="F3" sqref="F3"/>
    </sheetView>
  </sheetViews>
  <sheetFormatPr defaultRowHeight="14.4" x14ac:dyDescent="0.3"/>
  <cols>
    <col min="2" max="2" width="12.109375" customWidth="1"/>
    <col min="3" max="3" width="12.21875" bestFit="1" customWidth="1"/>
    <col min="7" max="11" width="8.88671875" style="1"/>
    <col min="19" max="19" width="8.88671875" style="1"/>
    <col min="21" max="21" width="8.88671875" style="1"/>
  </cols>
  <sheetData>
    <row r="1" spans="1:21" x14ac:dyDescent="0.3">
      <c r="A1" s="4" t="s">
        <v>7</v>
      </c>
      <c r="K1" s="8"/>
      <c r="L1" t="s">
        <v>6</v>
      </c>
    </row>
    <row r="2" spans="1:21" x14ac:dyDescent="0.3">
      <c r="B2" t="s">
        <v>0</v>
      </c>
      <c r="C2" t="s">
        <v>9</v>
      </c>
      <c r="D2" t="s">
        <v>2</v>
      </c>
      <c r="E2" t="s">
        <v>3</v>
      </c>
      <c r="F2" t="s">
        <v>4</v>
      </c>
      <c r="G2" s="1" t="s">
        <v>5</v>
      </c>
      <c r="H2" s="1" t="s">
        <v>10</v>
      </c>
      <c r="I2" s="1" t="s">
        <v>11</v>
      </c>
      <c r="J2" s="1" t="s">
        <v>13</v>
      </c>
      <c r="K2" s="8" t="s">
        <v>12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s="1" t="s">
        <v>10</v>
      </c>
      <c r="S2" s="1" t="s">
        <v>11</v>
      </c>
      <c r="T2" s="1" t="s">
        <v>13</v>
      </c>
      <c r="U2" s="1" t="s">
        <v>12</v>
      </c>
    </row>
    <row r="3" spans="1:21" x14ac:dyDescent="0.3">
      <c r="A3">
        <v>0.5</v>
      </c>
      <c r="B3">
        <v>21</v>
      </c>
      <c r="C3">
        <v>21</v>
      </c>
      <c r="D3">
        <v>0</v>
      </c>
      <c r="E3">
        <v>0</v>
      </c>
      <c r="F3" s="3">
        <f>D3/(D3+486)</f>
        <v>0</v>
      </c>
      <c r="G3" s="1">
        <f>E3/(C3+E3)</f>
        <v>0</v>
      </c>
      <c r="H3" s="1">
        <f>C3/(C3+D3)</f>
        <v>1</v>
      </c>
      <c r="I3" s="1">
        <f>C3/(C3+E3)</f>
        <v>1</v>
      </c>
      <c r="J3" s="1">
        <f>108/(108+D3)</f>
        <v>1</v>
      </c>
      <c r="K3" s="8">
        <f>(I3+J3)/2</f>
        <v>1</v>
      </c>
      <c r="L3">
        <v>21</v>
      </c>
      <c r="M3">
        <v>21</v>
      </c>
      <c r="N3">
        <v>0</v>
      </c>
      <c r="O3">
        <v>0</v>
      </c>
      <c r="P3" s="3">
        <f>N3/(N3+486)</f>
        <v>0</v>
      </c>
      <c r="Q3" s="1">
        <f>O3/(M3+O3)</f>
        <v>0</v>
      </c>
      <c r="R3" s="1">
        <f>M3/(M3+N3)</f>
        <v>1</v>
      </c>
      <c r="S3" s="1">
        <f>M3/(M3+O3)</f>
        <v>1</v>
      </c>
      <c r="T3" s="1">
        <f>108/(108+N3)</f>
        <v>1</v>
      </c>
      <c r="U3" s="1">
        <f>(S3+T3)/2</f>
        <v>1</v>
      </c>
    </row>
    <row r="4" spans="1:21" s="5" customFormat="1" x14ac:dyDescent="0.3">
      <c r="A4" s="5">
        <v>0.6</v>
      </c>
      <c r="B4" s="5">
        <v>21</v>
      </c>
      <c r="C4" s="5">
        <v>21</v>
      </c>
      <c r="D4" s="5">
        <v>0</v>
      </c>
      <c r="E4" s="5">
        <v>0</v>
      </c>
      <c r="F4" s="3">
        <f t="shared" ref="F4:F7" si="0">D4/(D4+486)</f>
        <v>0</v>
      </c>
      <c r="G4" s="6">
        <f t="shared" ref="G4:G7" si="1">E4/(C4+E4)</f>
        <v>0</v>
      </c>
      <c r="H4" s="6">
        <f t="shared" ref="H4:H7" si="2">C4/(C4+D4)</f>
        <v>1</v>
      </c>
      <c r="I4" s="6">
        <f t="shared" ref="I4:I7" si="3">C4/(C4+E4)</f>
        <v>1</v>
      </c>
      <c r="J4" s="6">
        <f t="shared" ref="J4:J7" si="4">108/(108+D4)</f>
        <v>1</v>
      </c>
      <c r="K4" s="8">
        <f t="shared" ref="K4:K7" si="5">(I4+J4)/2</f>
        <v>1</v>
      </c>
      <c r="L4">
        <v>21</v>
      </c>
      <c r="M4">
        <v>21</v>
      </c>
      <c r="N4">
        <v>0</v>
      </c>
      <c r="O4">
        <v>0</v>
      </c>
      <c r="P4" s="3">
        <f t="shared" ref="P4:P7" si="6">N4/(N4+486)</f>
        <v>0</v>
      </c>
      <c r="Q4" s="6">
        <f t="shared" ref="Q4:Q7" si="7">O4/(M4+O4)</f>
        <v>0</v>
      </c>
      <c r="R4" s="6">
        <f t="shared" ref="R4:R7" si="8">M4/(M4+N4)</f>
        <v>1</v>
      </c>
      <c r="S4" s="6">
        <f t="shared" ref="S4:S7" si="9">M4/(M4+O4)</f>
        <v>1</v>
      </c>
      <c r="T4" s="6">
        <f t="shared" ref="T4:T7" si="10">108/(108+N4)</f>
        <v>1</v>
      </c>
      <c r="U4" s="6">
        <f t="shared" ref="U4:U7" si="11">(S4+T4)/2</f>
        <v>1</v>
      </c>
    </row>
    <row r="5" spans="1:21" x14ac:dyDescent="0.3">
      <c r="A5">
        <v>0.7</v>
      </c>
      <c r="B5">
        <v>20</v>
      </c>
      <c r="C5">
        <v>20</v>
      </c>
      <c r="D5">
        <v>0</v>
      </c>
      <c r="E5">
        <v>1</v>
      </c>
      <c r="F5" s="3">
        <f t="shared" si="0"/>
        <v>0</v>
      </c>
      <c r="G5" s="1">
        <f t="shared" si="1"/>
        <v>4.7619047619047616E-2</v>
      </c>
      <c r="H5" s="1">
        <f t="shared" si="2"/>
        <v>1</v>
      </c>
      <c r="I5" s="1">
        <f t="shared" si="3"/>
        <v>0.95238095238095233</v>
      </c>
      <c r="J5" s="1">
        <f t="shared" si="4"/>
        <v>1</v>
      </c>
      <c r="K5" s="8">
        <f t="shared" si="5"/>
        <v>0.97619047619047616</v>
      </c>
      <c r="L5">
        <v>20</v>
      </c>
      <c r="M5">
        <v>20</v>
      </c>
      <c r="N5">
        <v>0</v>
      </c>
      <c r="O5">
        <v>1</v>
      </c>
      <c r="P5" s="3">
        <f t="shared" si="6"/>
        <v>0</v>
      </c>
      <c r="Q5" s="1">
        <f t="shared" si="7"/>
        <v>4.7619047619047616E-2</v>
      </c>
      <c r="R5" s="1">
        <f t="shared" si="8"/>
        <v>1</v>
      </c>
      <c r="S5" s="1">
        <f t="shared" si="9"/>
        <v>0.95238095238095233</v>
      </c>
      <c r="T5" s="1">
        <f t="shared" si="10"/>
        <v>1</v>
      </c>
      <c r="U5" s="1">
        <f t="shared" si="11"/>
        <v>0.97619047619047616</v>
      </c>
    </row>
    <row r="6" spans="1:21" x14ac:dyDescent="0.3">
      <c r="A6">
        <v>0.8</v>
      </c>
      <c r="B6">
        <v>17</v>
      </c>
      <c r="C6">
        <v>17</v>
      </c>
      <c r="D6">
        <v>0</v>
      </c>
      <c r="E6">
        <v>4</v>
      </c>
      <c r="F6" s="3">
        <f t="shared" si="0"/>
        <v>0</v>
      </c>
      <c r="G6" s="1">
        <f t="shared" si="1"/>
        <v>0.19047619047619047</v>
      </c>
      <c r="H6" s="1">
        <f t="shared" si="2"/>
        <v>1</v>
      </c>
      <c r="I6" s="1">
        <f t="shared" si="3"/>
        <v>0.80952380952380953</v>
      </c>
      <c r="J6" s="1">
        <f t="shared" si="4"/>
        <v>1</v>
      </c>
      <c r="K6" s="8">
        <f t="shared" si="5"/>
        <v>0.90476190476190477</v>
      </c>
      <c r="L6">
        <v>17</v>
      </c>
      <c r="M6">
        <v>17</v>
      </c>
      <c r="N6">
        <v>0</v>
      </c>
      <c r="O6">
        <v>4</v>
      </c>
      <c r="P6" s="3">
        <f t="shared" si="6"/>
        <v>0</v>
      </c>
      <c r="Q6" s="1">
        <f t="shared" si="7"/>
        <v>0.19047619047619047</v>
      </c>
      <c r="R6" s="1">
        <f t="shared" si="8"/>
        <v>1</v>
      </c>
      <c r="S6" s="1">
        <f t="shared" si="9"/>
        <v>0.80952380952380953</v>
      </c>
      <c r="T6" s="1">
        <f t="shared" si="10"/>
        <v>1</v>
      </c>
      <c r="U6" s="1">
        <f t="shared" si="11"/>
        <v>0.90476190476190477</v>
      </c>
    </row>
    <row r="7" spans="1:21" x14ac:dyDescent="0.3">
      <c r="A7">
        <v>0.9</v>
      </c>
      <c r="B7">
        <v>5</v>
      </c>
      <c r="C7">
        <v>5</v>
      </c>
      <c r="D7">
        <v>0</v>
      </c>
      <c r="E7">
        <v>16</v>
      </c>
      <c r="F7" s="3">
        <f t="shared" si="0"/>
        <v>0</v>
      </c>
      <c r="G7" s="1">
        <f t="shared" si="1"/>
        <v>0.76190476190476186</v>
      </c>
      <c r="H7" s="1">
        <f t="shared" si="2"/>
        <v>1</v>
      </c>
      <c r="I7" s="1">
        <f t="shared" si="3"/>
        <v>0.23809523809523808</v>
      </c>
      <c r="J7" s="1">
        <f t="shared" si="4"/>
        <v>1</v>
      </c>
      <c r="K7" s="8">
        <f t="shared" si="5"/>
        <v>0.61904761904761907</v>
      </c>
      <c r="L7">
        <v>5</v>
      </c>
      <c r="M7">
        <v>5</v>
      </c>
      <c r="N7">
        <v>0</v>
      </c>
      <c r="O7">
        <v>16</v>
      </c>
      <c r="P7" s="3">
        <f t="shared" si="6"/>
        <v>0</v>
      </c>
      <c r="Q7" s="1">
        <f t="shared" si="7"/>
        <v>0.76190476190476186</v>
      </c>
      <c r="R7" s="1">
        <f t="shared" si="8"/>
        <v>1</v>
      </c>
      <c r="S7" s="1">
        <f t="shared" si="9"/>
        <v>0.23809523809523808</v>
      </c>
      <c r="T7" s="1">
        <f t="shared" si="10"/>
        <v>1</v>
      </c>
      <c r="U7" s="1">
        <f t="shared" si="11"/>
        <v>0.61904761904761907</v>
      </c>
    </row>
    <row r="8" spans="1:21" x14ac:dyDescent="0.3">
      <c r="K8" s="8"/>
      <c r="R8" s="1"/>
      <c r="T8" s="1"/>
    </row>
    <row r="9" spans="1:21" x14ac:dyDescent="0.3">
      <c r="A9" t="s">
        <v>8</v>
      </c>
      <c r="K9" s="8"/>
      <c r="R9" s="1"/>
      <c r="T9" s="1"/>
    </row>
    <row r="10" spans="1:21" x14ac:dyDescent="0.3">
      <c r="B10" t="s">
        <v>0</v>
      </c>
      <c r="C10" t="s">
        <v>9</v>
      </c>
      <c r="D10" t="s">
        <v>2</v>
      </c>
      <c r="E10" t="s">
        <v>3</v>
      </c>
      <c r="F10" t="s">
        <v>4</v>
      </c>
      <c r="G10" s="1" t="s">
        <v>5</v>
      </c>
      <c r="H10" s="1" t="s">
        <v>10</v>
      </c>
      <c r="I10" s="1" t="s">
        <v>11</v>
      </c>
      <c r="J10" s="1" t="s">
        <v>13</v>
      </c>
      <c r="K10" s="8" t="s">
        <v>12</v>
      </c>
      <c r="L10" t="s">
        <v>0</v>
      </c>
      <c r="M10" t="s">
        <v>1</v>
      </c>
      <c r="N10" t="s">
        <v>2</v>
      </c>
      <c r="O10" t="s">
        <v>3</v>
      </c>
      <c r="P10" t="s">
        <v>4</v>
      </c>
      <c r="Q10" t="s">
        <v>5</v>
      </c>
      <c r="R10" s="1"/>
      <c r="S10" s="1" t="s">
        <v>11</v>
      </c>
      <c r="T10" s="1" t="s">
        <v>13</v>
      </c>
      <c r="U10" s="1" t="s">
        <v>12</v>
      </c>
    </row>
    <row r="11" spans="1:21" x14ac:dyDescent="0.3">
      <c r="A11">
        <v>0.5</v>
      </c>
      <c r="B11">
        <v>68</v>
      </c>
      <c r="C11">
        <v>33</v>
      </c>
      <c r="D11">
        <v>35</v>
      </c>
      <c r="E11">
        <v>0</v>
      </c>
      <c r="F11" s="3">
        <f>D11/(D11+486)</f>
        <v>6.71785028790787E-2</v>
      </c>
      <c r="G11" s="1">
        <f>E11/(C11+E11)</f>
        <v>0</v>
      </c>
      <c r="H11" s="1">
        <f>C11/(C11+D11)</f>
        <v>0.48529411764705882</v>
      </c>
      <c r="I11" s="1">
        <f>C11/(C11+E11)</f>
        <v>1</v>
      </c>
      <c r="J11" s="1">
        <f>108/(108+D11)</f>
        <v>0.75524475524475521</v>
      </c>
      <c r="K11" s="8">
        <f>(I11+J11)/2</f>
        <v>0.8776223776223776</v>
      </c>
      <c r="L11">
        <v>33</v>
      </c>
      <c r="M11">
        <v>33</v>
      </c>
      <c r="N11">
        <v>0</v>
      </c>
      <c r="O11">
        <v>0</v>
      </c>
      <c r="P11" s="3">
        <f>N11/(N11+486)</f>
        <v>0</v>
      </c>
      <c r="Q11" s="1">
        <f>O11/(M11+O11)</f>
        <v>0</v>
      </c>
      <c r="R11" s="1">
        <f>M11/(M11+N11)</f>
        <v>1</v>
      </c>
      <c r="S11" s="1">
        <f>M11/(M11+O11)</f>
        <v>1</v>
      </c>
      <c r="T11" s="1">
        <f>108/(108+N11)</f>
        <v>1</v>
      </c>
      <c r="U11" s="1">
        <f>(S11+T11)/2</f>
        <v>1</v>
      </c>
    </row>
    <row r="12" spans="1:21" x14ac:dyDescent="0.3">
      <c r="A12">
        <v>0.6</v>
      </c>
      <c r="B12">
        <v>54</v>
      </c>
      <c r="C12">
        <v>33</v>
      </c>
      <c r="D12">
        <v>21</v>
      </c>
      <c r="E12">
        <v>0</v>
      </c>
      <c r="F12" s="3">
        <f t="shared" ref="F12:F15" si="12">D12/(D12+486)</f>
        <v>4.142011834319527E-2</v>
      </c>
      <c r="G12" s="1">
        <f t="shared" ref="G12" si="13">E12/(C12+E12)</f>
        <v>0</v>
      </c>
      <c r="H12" s="1">
        <f t="shared" ref="H12:H15" si="14">C12/(C12+D12)</f>
        <v>0.61111111111111116</v>
      </c>
      <c r="I12" s="1">
        <f t="shared" ref="I12:I15" si="15">C12/(C12+E12)</f>
        <v>1</v>
      </c>
      <c r="J12" s="1">
        <f t="shared" ref="J12:J15" si="16">108/(108+D12)</f>
        <v>0.83720930232558144</v>
      </c>
      <c r="K12" s="8">
        <f t="shared" ref="K12:K15" si="17">(I12+J12)/2</f>
        <v>0.91860465116279078</v>
      </c>
      <c r="L12">
        <v>33</v>
      </c>
      <c r="M12">
        <v>33</v>
      </c>
      <c r="N12">
        <v>0</v>
      </c>
      <c r="O12">
        <v>0</v>
      </c>
      <c r="P12" s="3">
        <f t="shared" ref="P12:P15" si="18">N12/(N12+486)</f>
        <v>0</v>
      </c>
      <c r="Q12" s="1">
        <f>O12/(M12+O12)</f>
        <v>0</v>
      </c>
      <c r="R12" s="1">
        <f t="shared" ref="R12:R15" si="19">M12/(M12+N12)</f>
        <v>1</v>
      </c>
      <c r="S12" s="1">
        <f t="shared" ref="S12:S15" si="20">M12/(M12+O12)</f>
        <v>1</v>
      </c>
      <c r="T12" s="1">
        <f t="shared" ref="T12:T15" si="21">108/(108+N12)</f>
        <v>1</v>
      </c>
      <c r="U12" s="1">
        <f t="shared" ref="U12:U15" si="22">(S12+T12)/2</f>
        <v>1</v>
      </c>
    </row>
    <row r="13" spans="1:21" x14ac:dyDescent="0.3">
      <c r="A13">
        <v>0.7</v>
      </c>
      <c r="B13">
        <v>39</v>
      </c>
      <c r="C13">
        <v>29</v>
      </c>
      <c r="D13">
        <v>10</v>
      </c>
      <c r="E13">
        <v>4</v>
      </c>
      <c r="F13" s="3">
        <f t="shared" si="12"/>
        <v>2.0161290322580645E-2</v>
      </c>
      <c r="G13" s="1">
        <f>E13/(C13+E13)</f>
        <v>0.12121212121212122</v>
      </c>
      <c r="H13" s="1">
        <f t="shared" si="14"/>
        <v>0.74358974358974361</v>
      </c>
      <c r="I13" s="1">
        <f t="shared" si="15"/>
        <v>0.87878787878787878</v>
      </c>
      <c r="J13" s="1">
        <f t="shared" si="16"/>
        <v>0.9152542372881356</v>
      </c>
      <c r="K13" s="8">
        <f t="shared" si="17"/>
        <v>0.89702105803800714</v>
      </c>
      <c r="L13">
        <v>29</v>
      </c>
      <c r="M13">
        <v>29</v>
      </c>
      <c r="N13">
        <v>0</v>
      </c>
      <c r="O13">
        <v>4</v>
      </c>
      <c r="P13" s="3">
        <f t="shared" si="18"/>
        <v>0</v>
      </c>
      <c r="Q13" s="1">
        <f>O13/(M13+O13)</f>
        <v>0.12121212121212122</v>
      </c>
      <c r="R13" s="1">
        <f>O13/(O13+N13)</f>
        <v>1</v>
      </c>
      <c r="S13" s="1">
        <f t="shared" si="20"/>
        <v>0.87878787878787878</v>
      </c>
      <c r="T13" s="1">
        <f t="shared" si="21"/>
        <v>1</v>
      </c>
      <c r="U13" s="1">
        <f t="shared" si="22"/>
        <v>0.93939393939393945</v>
      </c>
    </row>
    <row r="14" spans="1:21" x14ac:dyDescent="0.3">
      <c r="A14">
        <v>0.8</v>
      </c>
      <c r="B14">
        <v>27</v>
      </c>
      <c r="C14">
        <v>25</v>
      </c>
      <c r="D14">
        <v>2</v>
      </c>
      <c r="E14">
        <v>8</v>
      </c>
      <c r="F14" s="3">
        <f t="shared" si="12"/>
        <v>4.0983606557377051E-3</v>
      </c>
      <c r="G14" s="1">
        <f>E14/(C14+E14)</f>
        <v>0.24242424242424243</v>
      </c>
      <c r="H14" s="1">
        <f t="shared" si="14"/>
        <v>0.92592592592592593</v>
      </c>
      <c r="I14" s="1">
        <f t="shared" si="15"/>
        <v>0.75757575757575757</v>
      </c>
      <c r="J14" s="1">
        <f t="shared" si="16"/>
        <v>0.98181818181818181</v>
      </c>
      <c r="K14" s="8">
        <f t="shared" si="17"/>
        <v>0.86969696969696964</v>
      </c>
      <c r="L14">
        <v>25</v>
      </c>
      <c r="M14">
        <v>25</v>
      </c>
      <c r="N14">
        <v>0</v>
      </c>
      <c r="O14">
        <v>8</v>
      </c>
      <c r="P14" s="3">
        <f t="shared" si="18"/>
        <v>0</v>
      </c>
      <c r="Q14" s="1">
        <f t="shared" ref="Q14:Q15" si="23">O14/(M14+O14)</f>
        <v>0.24242424242424243</v>
      </c>
      <c r="R14" s="1">
        <f t="shared" si="19"/>
        <v>1</v>
      </c>
      <c r="S14" s="1">
        <f t="shared" si="20"/>
        <v>0.75757575757575757</v>
      </c>
      <c r="T14" s="1">
        <f t="shared" si="21"/>
        <v>1</v>
      </c>
      <c r="U14" s="1">
        <f t="shared" si="22"/>
        <v>0.87878787878787878</v>
      </c>
    </row>
    <row r="15" spans="1:21" x14ac:dyDescent="0.3">
      <c r="A15">
        <v>0.9</v>
      </c>
      <c r="B15">
        <v>6</v>
      </c>
      <c r="C15">
        <v>6</v>
      </c>
      <c r="D15">
        <v>0</v>
      </c>
      <c r="E15">
        <v>27</v>
      </c>
      <c r="F15" s="3">
        <f t="shared" si="12"/>
        <v>0</v>
      </c>
      <c r="G15" s="1">
        <f>E15/(C15+E15)</f>
        <v>0.81818181818181823</v>
      </c>
      <c r="H15" s="1">
        <f t="shared" si="14"/>
        <v>1</v>
      </c>
      <c r="I15" s="1">
        <f t="shared" si="15"/>
        <v>0.18181818181818182</v>
      </c>
      <c r="J15" s="1">
        <f t="shared" si="16"/>
        <v>1</v>
      </c>
      <c r="K15" s="8">
        <f t="shared" si="17"/>
        <v>0.59090909090909094</v>
      </c>
      <c r="L15">
        <v>6</v>
      </c>
      <c r="M15">
        <v>6</v>
      </c>
      <c r="N15">
        <v>0</v>
      </c>
      <c r="O15">
        <v>27</v>
      </c>
      <c r="P15" s="3">
        <f t="shared" si="18"/>
        <v>0</v>
      </c>
      <c r="Q15" s="1">
        <f t="shared" si="23"/>
        <v>0.81818181818181823</v>
      </c>
      <c r="R15" s="1">
        <f t="shared" si="19"/>
        <v>1</v>
      </c>
      <c r="S15" s="1">
        <f t="shared" si="20"/>
        <v>0.18181818181818182</v>
      </c>
      <c r="T15" s="1">
        <f t="shared" si="21"/>
        <v>1</v>
      </c>
      <c r="U15" s="1">
        <f t="shared" si="22"/>
        <v>0.59090909090909094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CC6E-248A-4687-9F23-E4927AF6709A}">
  <dimension ref="A1:U15"/>
  <sheetViews>
    <sheetView workbookViewId="0">
      <selection activeCell="N3" sqref="N3"/>
    </sheetView>
  </sheetViews>
  <sheetFormatPr defaultRowHeight="14.4" x14ac:dyDescent="0.3"/>
  <cols>
    <col min="2" max="2" width="12.109375" customWidth="1"/>
    <col min="3" max="3" width="12.21875" bestFit="1" customWidth="1"/>
    <col min="7" max="11" width="8.88671875" style="1"/>
    <col min="19" max="19" width="8.88671875" style="1"/>
    <col min="21" max="21" width="8.88671875" style="1"/>
  </cols>
  <sheetData>
    <row r="1" spans="1:21" x14ac:dyDescent="0.3">
      <c r="A1" s="4" t="s">
        <v>7</v>
      </c>
      <c r="K1" s="8"/>
      <c r="L1" t="s">
        <v>6</v>
      </c>
    </row>
    <row r="2" spans="1:21" x14ac:dyDescent="0.3">
      <c r="B2" t="s">
        <v>0</v>
      </c>
      <c r="C2" t="s">
        <v>9</v>
      </c>
      <c r="D2" t="s">
        <v>2</v>
      </c>
      <c r="E2" t="s">
        <v>3</v>
      </c>
      <c r="F2" t="s">
        <v>4</v>
      </c>
      <c r="G2" s="1" t="s">
        <v>5</v>
      </c>
      <c r="H2" s="1" t="s">
        <v>10</v>
      </c>
      <c r="I2" s="1" t="s">
        <v>11</v>
      </c>
      <c r="J2" s="1" t="s">
        <v>13</v>
      </c>
      <c r="K2" s="8" t="s">
        <v>12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s="1" t="s">
        <v>10</v>
      </c>
      <c r="S2" s="1" t="s">
        <v>11</v>
      </c>
      <c r="T2" s="1" t="s">
        <v>13</v>
      </c>
      <c r="U2" s="1" t="s">
        <v>12</v>
      </c>
    </row>
    <row r="3" spans="1:21" x14ac:dyDescent="0.3">
      <c r="A3">
        <v>0.5</v>
      </c>
      <c r="B3">
        <v>11</v>
      </c>
      <c r="C3">
        <v>5</v>
      </c>
      <c r="D3">
        <v>6</v>
      </c>
      <c r="E3">
        <v>0</v>
      </c>
      <c r="F3" s="3">
        <f>D3/(D3+337)</f>
        <v>1.7492711370262391E-2</v>
      </c>
      <c r="G3" s="1">
        <f>E3/(C3+E3)</f>
        <v>0</v>
      </c>
      <c r="H3" s="1">
        <f>C3/(C3+D3)</f>
        <v>0.45454545454545453</v>
      </c>
      <c r="I3" s="1">
        <f>C3/(C3+E3)</f>
        <v>1</v>
      </c>
      <c r="J3" s="1">
        <f>108/(108+D3)</f>
        <v>0.94736842105263153</v>
      </c>
      <c r="K3" s="8">
        <f>(I3+J3)/2</f>
        <v>0.97368421052631571</v>
      </c>
      <c r="L3">
        <v>5</v>
      </c>
      <c r="M3">
        <v>5</v>
      </c>
      <c r="N3">
        <v>0</v>
      </c>
      <c r="O3">
        <v>0</v>
      </c>
      <c r="P3" s="3">
        <f>N3/(N3+337)</f>
        <v>0</v>
      </c>
      <c r="Q3" s="1">
        <f>O3/(M3+O3)</f>
        <v>0</v>
      </c>
      <c r="R3" s="1">
        <f>M3/(M3+N3)</f>
        <v>1</v>
      </c>
      <c r="S3" s="1">
        <f>M3/(M3+O3)</f>
        <v>1</v>
      </c>
      <c r="T3" s="1">
        <f>108/(108+N3)</f>
        <v>1</v>
      </c>
      <c r="U3" s="1">
        <f>(S3+T3)/2</f>
        <v>1</v>
      </c>
    </row>
    <row r="4" spans="1:21" s="5" customFormat="1" x14ac:dyDescent="0.3">
      <c r="A4" s="5">
        <v>0.6</v>
      </c>
      <c r="B4">
        <v>6</v>
      </c>
      <c r="C4">
        <v>5</v>
      </c>
      <c r="D4">
        <v>1</v>
      </c>
      <c r="E4">
        <v>0</v>
      </c>
      <c r="F4" s="3">
        <f t="shared" ref="F4:F7" si="0">D4/(D4+337)</f>
        <v>2.9585798816568047E-3</v>
      </c>
      <c r="G4" s="6">
        <f t="shared" ref="G4:G7" si="1">E4/(C4+E4)</f>
        <v>0</v>
      </c>
      <c r="H4" s="6">
        <f t="shared" ref="H4:H7" si="2">C4/(C4+D4)</f>
        <v>0.83333333333333337</v>
      </c>
      <c r="I4" s="6">
        <f t="shared" ref="I4:I7" si="3">C4/(C4+E4)</f>
        <v>1</v>
      </c>
      <c r="J4" s="6">
        <f t="shared" ref="J4:J7" si="4">108/(108+D4)</f>
        <v>0.99082568807339455</v>
      </c>
      <c r="K4" s="8">
        <f t="shared" ref="K4:K7" si="5">(I4+J4)/2</f>
        <v>0.99541284403669728</v>
      </c>
      <c r="L4">
        <v>5</v>
      </c>
      <c r="M4">
        <v>5</v>
      </c>
      <c r="N4">
        <v>0</v>
      </c>
      <c r="O4">
        <v>0</v>
      </c>
      <c r="P4" s="3">
        <f t="shared" ref="P4:P7" si="6">N4/(N4+337)</f>
        <v>0</v>
      </c>
      <c r="Q4" s="6">
        <f t="shared" ref="Q4:Q7" si="7">O4/(M4+O4)</f>
        <v>0</v>
      </c>
      <c r="R4" s="6">
        <f t="shared" ref="R4:R7" si="8">M4/(M4+N4)</f>
        <v>1</v>
      </c>
      <c r="S4" s="6">
        <f t="shared" ref="S4:S7" si="9">M4/(M4+O4)</f>
        <v>1</v>
      </c>
      <c r="T4" s="6">
        <f t="shared" ref="T4:T7" si="10">108/(108+N4)</f>
        <v>1</v>
      </c>
      <c r="U4" s="6">
        <f t="shared" ref="U4:U7" si="11">(S4+T4)/2</f>
        <v>1</v>
      </c>
    </row>
    <row r="5" spans="1:21" x14ac:dyDescent="0.3">
      <c r="A5">
        <v>0.7</v>
      </c>
      <c r="B5">
        <v>6</v>
      </c>
      <c r="C5">
        <v>5</v>
      </c>
      <c r="D5">
        <v>1</v>
      </c>
      <c r="E5">
        <v>0</v>
      </c>
      <c r="F5" s="3">
        <f t="shared" si="0"/>
        <v>2.9585798816568047E-3</v>
      </c>
      <c r="G5" s="1">
        <f t="shared" si="1"/>
        <v>0</v>
      </c>
      <c r="H5" s="1">
        <f t="shared" si="2"/>
        <v>0.83333333333333337</v>
      </c>
      <c r="I5" s="1">
        <f t="shared" si="3"/>
        <v>1</v>
      </c>
      <c r="J5" s="1">
        <f t="shared" si="4"/>
        <v>0.99082568807339455</v>
      </c>
      <c r="K5" s="8">
        <f t="shared" si="5"/>
        <v>0.99541284403669728</v>
      </c>
      <c r="L5">
        <v>5</v>
      </c>
      <c r="M5">
        <v>5</v>
      </c>
      <c r="N5">
        <v>0</v>
      </c>
      <c r="O5">
        <v>0</v>
      </c>
      <c r="P5" s="3">
        <f t="shared" si="6"/>
        <v>0</v>
      </c>
      <c r="Q5" s="1">
        <f t="shared" si="7"/>
        <v>0</v>
      </c>
      <c r="R5" s="1">
        <f t="shared" si="8"/>
        <v>1</v>
      </c>
      <c r="S5" s="1">
        <f t="shared" si="9"/>
        <v>1</v>
      </c>
      <c r="T5" s="1">
        <f t="shared" si="10"/>
        <v>1</v>
      </c>
      <c r="U5" s="1">
        <f t="shared" si="11"/>
        <v>1</v>
      </c>
    </row>
    <row r="6" spans="1:21" x14ac:dyDescent="0.3">
      <c r="A6">
        <v>0.8</v>
      </c>
      <c r="B6">
        <v>2</v>
      </c>
      <c r="C6">
        <v>2</v>
      </c>
      <c r="D6">
        <v>0</v>
      </c>
      <c r="E6">
        <v>3</v>
      </c>
      <c r="F6" s="3">
        <f t="shared" si="0"/>
        <v>0</v>
      </c>
      <c r="G6" s="1">
        <f t="shared" si="1"/>
        <v>0.6</v>
      </c>
      <c r="H6" s="1">
        <f t="shared" si="2"/>
        <v>1</v>
      </c>
      <c r="I6" s="1">
        <f t="shared" si="3"/>
        <v>0.4</v>
      </c>
      <c r="J6" s="1">
        <f t="shared" si="4"/>
        <v>1</v>
      </c>
      <c r="K6" s="8">
        <f t="shared" si="5"/>
        <v>0.7</v>
      </c>
      <c r="L6">
        <v>2</v>
      </c>
      <c r="M6">
        <v>2</v>
      </c>
      <c r="N6">
        <v>0</v>
      </c>
      <c r="O6">
        <v>3</v>
      </c>
      <c r="P6" s="3">
        <f t="shared" si="6"/>
        <v>0</v>
      </c>
      <c r="Q6" s="1">
        <f t="shared" si="7"/>
        <v>0.6</v>
      </c>
      <c r="R6" s="1">
        <f t="shared" si="8"/>
        <v>1</v>
      </c>
      <c r="S6" s="1">
        <f t="shared" si="9"/>
        <v>0.4</v>
      </c>
      <c r="T6" s="1">
        <f t="shared" si="10"/>
        <v>1</v>
      </c>
      <c r="U6" s="1">
        <f t="shared" si="11"/>
        <v>0.7</v>
      </c>
    </row>
    <row r="7" spans="1:21" x14ac:dyDescent="0.3">
      <c r="A7">
        <v>0.9</v>
      </c>
      <c r="B7">
        <v>2</v>
      </c>
      <c r="C7">
        <v>2</v>
      </c>
      <c r="D7">
        <v>0</v>
      </c>
      <c r="E7">
        <v>3</v>
      </c>
      <c r="F7" s="3">
        <f t="shared" si="0"/>
        <v>0</v>
      </c>
      <c r="G7" s="1">
        <f t="shared" si="1"/>
        <v>0.6</v>
      </c>
      <c r="H7" s="1">
        <f t="shared" si="2"/>
        <v>1</v>
      </c>
      <c r="I7" s="1">
        <f t="shared" si="3"/>
        <v>0.4</v>
      </c>
      <c r="J7" s="1">
        <f t="shared" si="4"/>
        <v>1</v>
      </c>
      <c r="K7" s="8">
        <f t="shared" si="5"/>
        <v>0.7</v>
      </c>
      <c r="L7">
        <v>2</v>
      </c>
      <c r="M7">
        <v>2</v>
      </c>
      <c r="N7">
        <v>0</v>
      </c>
      <c r="O7">
        <v>3</v>
      </c>
      <c r="P7" s="3">
        <f t="shared" si="6"/>
        <v>0</v>
      </c>
      <c r="Q7" s="1">
        <f t="shared" si="7"/>
        <v>0.6</v>
      </c>
      <c r="R7" s="1">
        <f t="shared" si="8"/>
        <v>1</v>
      </c>
      <c r="S7" s="1">
        <f t="shared" si="9"/>
        <v>0.4</v>
      </c>
      <c r="T7" s="1">
        <f t="shared" si="10"/>
        <v>1</v>
      </c>
      <c r="U7" s="1">
        <f t="shared" si="11"/>
        <v>0.7</v>
      </c>
    </row>
    <row r="8" spans="1:21" x14ac:dyDescent="0.3">
      <c r="K8" s="8"/>
      <c r="R8" s="1"/>
      <c r="T8" s="1"/>
    </row>
    <row r="9" spans="1:21" x14ac:dyDescent="0.3">
      <c r="A9" t="s">
        <v>8</v>
      </c>
      <c r="K9" s="8"/>
      <c r="R9" s="1"/>
      <c r="T9" s="1"/>
    </row>
    <row r="10" spans="1:21" x14ac:dyDescent="0.3">
      <c r="B10" t="s">
        <v>0</v>
      </c>
      <c r="C10" t="s">
        <v>9</v>
      </c>
      <c r="D10" t="s">
        <v>2</v>
      </c>
      <c r="E10" t="s">
        <v>3</v>
      </c>
      <c r="F10" t="s">
        <v>4</v>
      </c>
      <c r="G10" s="1" t="s">
        <v>5</v>
      </c>
      <c r="H10" s="1" t="s">
        <v>10</v>
      </c>
      <c r="I10" s="1" t="s">
        <v>11</v>
      </c>
      <c r="J10" s="1" t="s">
        <v>13</v>
      </c>
      <c r="K10" s="8" t="s">
        <v>12</v>
      </c>
      <c r="L10" t="s">
        <v>0</v>
      </c>
      <c r="M10" t="s">
        <v>1</v>
      </c>
      <c r="N10" t="s">
        <v>2</v>
      </c>
      <c r="O10" t="s">
        <v>3</v>
      </c>
      <c r="P10" t="s">
        <v>4</v>
      </c>
      <c r="Q10" t="s">
        <v>5</v>
      </c>
      <c r="R10" s="1"/>
      <c r="S10" s="1" t="s">
        <v>11</v>
      </c>
      <c r="T10" s="1" t="s">
        <v>13</v>
      </c>
      <c r="U10" s="1" t="s">
        <v>12</v>
      </c>
    </row>
    <row r="11" spans="1:21" x14ac:dyDescent="0.3">
      <c r="A11">
        <v>0.5</v>
      </c>
      <c r="B11">
        <v>51</v>
      </c>
      <c r="C11">
        <v>14</v>
      </c>
      <c r="D11">
        <v>35</v>
      </c>
      <c r="E11">
        <v>0</v>
      </c>
      <c r="F11" s="3">
        <f>D11/(D11+337)</f>
        <v>9.4086021505376344E-2</v>
      </c>
      <c r="G11" s="1">
        <f>E11/(C11+E11)</f>
        <v>0</v>
      </c>
      <c r="H11" s="1">
        <f>C11/(C11+D11)</f>
        <v>0.2857142857142857</v>
      </c>
      <c r="I11" s="1">
        <f>C11/(C11+E11)</f>
        <v>1</v>
      </c>
      <c r="J11" s="1">
        <f>108/(108+D11)</f>
        <v>0.75524475524475521</v>
      </c>
      <c r="K11" s="8">
        <f>(I11+J11)/2</f>
        <v>0.8776223776223776</v>
      </c>
      <c r="L11">
        <v>14</v>
      </c>
      <c r="M11">
        <v>14</v>
      </c>
      <c r="N11">
        <v>0</v>
      </c>
      <c r="O11">
        <v>0</v>
      </c>
      <c r="P11" s="3">
        <f>N11/(N11+337)</f>
        <v>0</v>
      </c>
      <c r="Q11" s="1">
        <f>O11/(M11+O11)</f>
        <v>0</v>
      </c>
      <c r="R11" s="1">
        <f>M11/(M11+N11)</f>
        <v>1</v>
      </c>
      <c r="S11" s="1">
        <f>M11/(M11+O11)</f>
        <v>1</v>
      </c>
      <c r="T11" s="1">
        <f>108/(108+N11)</f>
        <v>1</v>
      </c>
      <c r="U11" s="1">
        <f>(S11+T11)/2</f>
        <v>1</v>
      </c>
    </row>
    <row r="12" spans="1:21" x14ac:dyDescent="0.3">
      <c r="A12">
        <v>0.6</v>
      </c>
      <c r="B12">
        <v>31</v>
      </c>
      <c r="C12">
        <v>10</v>
      </c>
      <c r="D12">
        <v>19</v>
      </c>
      <c r="E12">
        <v>4</v>
      </c>
      <c r="F12" s="3">
        <f t="shared" ref="F12:F15" si="12">D12/(D12+337)</f>
        <v>5.3370786516853931E-2</v>
      </c>
      <c r="G12" s="1">
        <f t="shared" ref="G12" si="13">E12/(C12+E12)</f>
        <v>0.2857142857142857</v>
      </c>
      <c r="H12" s="1">
        <f t="shared" ref="H12:H15" si="14">C12/(C12+D12)</f>
        <v>0.34482758620689657</v>
      </c>
      <c r="I12" s="1">
        <f t="shared" ref="I12:I15" si="15">C12/(C12+E12)</f>
        <v>0.7142857142857143</v>
      </c>
      <c r="J12" s="1">
        <f t="shared" ref="J12:J15" si="16">108/(108+D12)</f>
        <v>0.85039370078740162</v>
      </c>
      <c r="K12" s="8">
        <f t="shared" ref="K12:K15" si="17">(I12+J12)/2</f>
        <v>0.7823397075365579</v>
      </c>
      <c r="L12">
        <v>10</v>
      </c>
      <c r="M12">
        <v>10</v>
      </c>
      <c r="N12">
        <v>0</v>
      </c>
      <c r="O12">
        <v>4</v>
      </c>
      <c r="P12" s="3">
        <f t="shared" ref="P12:P15" si="18">N12/(N12+337)</f>
        <v>0</v>
      </c>
      <c r="Q12" s="1">
        <f>O12/(M12+O12)</f>
        <v>0.2857142857142857</v>
      </c>
      <c r="R12" s="1">
        <f t="shared" ref="R12:R15" si="19">M12/(M12+N12)</f>
        <v>1</v>
      </c>
      <c r="S12" s="1">
        <f t="shared" ref="S12:S15" si="20">M12/(M12+O12)</f>
        <v>0.7142857142857143</v>
      </c>
      <c r="T12" s="1">
        <f t="shared" ref="T12:T15" si="21">108/(108+N12)</f>
        <v>1</v>
      </c>
      <c r="U12" s="1">
        <f t="shared" ref="U12:U15" si="22">(S12+T12)/2</f>
        <v>0.85714285714285721</v>
      </c>
    </row>
    <row r="13" spans="1:21" x14ac:dyDescent="0.3">
      <c r="A13">
        <v>0.7</v>
      </c>
      <c r="B13">
        <v>21</v>
      </c>
      <c r="C13">
        <v>8</v>
      </c>
      <c r="D13">
        <v>11</v>
      </c>
      <c r="E13">
        <v>6</v>
      </c>
      <c r="F13" s="3">
        <f t="shared" si="12"/>
        <v>3.1609195402298854E-2</v>
      </c>
      <c r="G13" s="1">
        <f>E13/(C13+E13)</f>
        <v>0.42857142857142855</v>
      </c>
      <c r="H13" s="1">
        <f t="shared" si="14"/>
        <v>0.42105263157894735</v>
      </c>
      <c r="I13" s="1">
        <f t="shared" si="15"/>
        <v>0.5714285714285714</v>
      </c>
      <c r="J13" s="1">
        <f t="shared" si="16"/>
        <v>0.90756302521008403</v>
      </c>
      <c r="K13" s="8">
        <f t="shared" si="17"/>
        <v>0.73949579831932777</v>
      </c>
      <c r="L13">
        <v>8</v>
      </c>
      <c r="M13">
        <v>8</v>
      </c>
      <c r="N13">
        <v>0</v>
      </c>
      <c r="O13">
        <v>6</v>
      </c>
      <c r="P13" s="3">
        <f t="shared" si="18"/>
        <v>0</v>
      </c>
      <c r="Q13" s="1">
        <f>O13/(M13+O13)</f>
        <v>0.42857142857142855</v>
      </c>
      <c r="R13" s="1">
        <f>O13/(O13+N13)</f>
        <v>1</v>
      </c>
      <c r="S13" s="1">
        <f t="shared" si="20"/>
        <v>0.5714285714285714</v>
      </c>
      <c r="T13" s="1">
        <f t="shared" si="21"/>
        <v>1</v>
      </c>
      <c r="U13" s="1">
        <f t="shared" si="22"/>
        <v>0.7857142857142857</v>
      </c>
    </row>
    <row r="14" spans="1:21" x14ac:dyDescent="0.3">
      <c r="A14">
        <v>0.8</v>
      </c>
      <c r="B14">
        <v>6</v>
      </c>
      <c r="C14">
        <v>4</v>
      </c>
      <c r="D14">
        <v>2</v>
      </c>
      <c r="E14">
        <v>10</v>
      </c>
      <c r="F14" s="3">
        <f t="shared" si="12"/>
        <v>5.8997050147492625E-3</v>
      </c>
      <c r="G14" s="1">
        <f>E14/(C14+E14)</f>
        <v>0.7142857142857143</v>
      </c>
      <c r="H14" s="1">
        <f t="shared" si="14"/>
        <v>0.66666666666666663</v>
      </c>
      <c r="I14" s="1">
        <f t="shared" si="15"/>
        <v>0.2857142857142857</v>
      </c>
      <c r="J14" s="1">
        <f t="shared" si="16"/>
        <v>0.98181818181818181</v>
      </c>
      <c r="K14" s="8">
        <f t="shared" si="17"/>
        <v>0.63376623376623376</v>
      </c>
      <c r="L14">
        <v>4</v>
      </c>
      <c r="M14">
        <v>4</v>
      </c>
      <c r="N14">
        <v>0</v>
      </c>
      <c r="O14">
        <v>10</v>
      </c>
      <c r="P14" s="3">
        <f t="shared" si="18"/>
        <v>0</v>
      </c>
      <c r="Q14" s="1">
        <f t="shared" ref="Q14:Q15" si="23">O14/(M14+O14)</f>
        <v>0.7142857142857143</v>
      </c>
      <c r="R14" s="1">
        <f t="shared" si="19"/>
        <v>1</v>
      </c>
      <c r="S14" s="1">
        <f t="shared" si="20"/>
        <v>0.2857142857142857</v>
      </c>
      <c r="T14" s="1">
        <f t="shared" si="21"/>
        <v>1</v>
      </c>
      <c r="U14" s="1">
        <f t="shared" si="22"/>
        <v>0.64285714285714279</v>
      </c>
    </row>
    <row r="15" spans="1:21" x14ac:dyDescent="0.3">
      <c r="A15">
        <v>0.9</v>
      </c>
      <c r="B15">
        <v>3</v>
      </c>
      <c r="C15">
        <v>3</v>
      </c>
      <c r="D15">
        <v>0</v>
      </c>
      <c r="E15">
        <v>11</v>
      </c>
      <c r="F15" s="3">
        <f t="shared" si="12"/>
        <v>0</v>
      </c>
      <c r="G15" s="1">
        <f>E15/(C15+E15)</f>
        <v>0.7857142857142857</v>
      </c>
      <c r="H15" s="1">
        <f t="shared" si="14"/>
        <v>1</v>
      </c>
      <c r="I15" s="1">
        <f t="shared" si="15"/>
        <v>0.21428571428571427</v>
      </c>
      <c r="J15" s="1">
        <f t="shared" si="16"/>
        <v>1</v>
      </c>
      <c r="K15" s="8">
        <f t="shared" si="17"/>
        <v>0.6071428571428571</v>
      </c>
      <c r="L15">
        <v>3</v>
      </c>
      <c r="M15">
        <v>3</v>
      </c>
      <c r="N15">
        <v>0</v>
      </c>
      <c r="O15">
        <v>11</v>
      </c>
      <c r="P15" s="3">
        <f t="shared" si="18"/>
        <v>0</v>
      </c>
      <c r="Q15" s="1">
        <f t="shared" si="23"/>
        <v>0.7857142857142857</v>
      </c>
      <c r="R15" s="1">
        <f t="shared" si="19"/>
        <v>1</v>
      </c>
      <c r="S15" s="1">
        <f t="shared" si="20"/>
        <v>0.21428571428571427</v>
      </c>
      <c r="T15" s="1">
        <f t="shared" si="21"/>
        <v>1</v>
      </c>
      <c r="U15" s="1">
        <f t="shared" si="22"/>
        <v>0.6071428571428571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3A6B-5AC0-4686-8F15-EBA1ECAB7F28}">
  <dimension ref="A1:U15"/>
  <sheetViews>
    <sheetView workbookViewId="0">
      <selection activeCell="P3" sqref="P3"/>
    </sheetView>
  </sheetViews>
  <sheetFormatPr defaultRowHeight="14.4" x14ac:dyDescent="0.3"/>
  <cols>
    <col min="2" max="2" width="12.109375" customWidth="1"/>
    <col min="6" max="6" width="13.77734375" customWidth="1"/>
    <col min="7" max="10" width="8.88671875" style="1"/>
    <col min="11" max="11" width="8.88671875" style="7"/>
    <col min="19" max="19" width="8.88671875" style="1"/>
    <col min="21" max="21" width="8.88671875" style="1"/>
  </cols>
  <sheetData>
    <row r="1" spans="1:21" x14ac:dyDescent="0.3">
      <c r="A1" t="s">
        <v>7</v>
      </c>
      <c r="L1" t="s">
        <v>6</v>
      </c>
    </row>
    <row r="2" spans="1:21" x14ac:dyDescent="0.3">
      <c r="B2" t="s">
        <v>0</v>
      </c>
      <c r="C2" t="s">
        <v>9</v>
      </c>
      <c r="D2" t="s">
        <v>2</v>
      </c>
      <c r="E2" t="s">
        <v>3</v>
      </c>
      <c r="F2" t="s">
        <v>4</v>
      </c>
      <c r="G2" s="1" t="s">
        <v>5</v>
      </c>
      <c r="H2" s="1" t="s">
        <v>10</v>
      </c>
      <c r="I2" s="1" t="s">
        <v>11</v>
      </c>
      <c r="J2" s="1" t="s">
        <v>13</v>
      </c>
      <c r="K2" s="7" t="s">
        <v>12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s="1" t="s">
        <v>10</v>
      </c>
      <c r="S2" s="1" t="s">
        <v>11</v>
      </c>
      <c r="T2" s="1" t="s">
        <v>13</v>
      </c>
      <c r="U2" s="1" t="s">
        <v>12</v>
      </c>
    </row>
    <row r="3" spans="1:21" x14ac:dyDescent="0.3">
      <c r="A3">
        <v>0.5</v>
      </c>
      <c r="B3">
        <v>8</v>
      </c>
      <c r="C3">
        <v>5</v>
      </c>
      <c r="D3">
        <v>3</v>
      </c>
      <c r="E3">
        <v>0</v>
      </c>
      <c r="F3" s="3">
        <f>D3/(D3+108)</f>
        <v>2.7027027027027029E-2</v>
      </c>
      <c r="G3" s="1">
        <f>E3/(C3+E3)</f>
        <v>0</v>
      </c>
      <c r="H3" s="1">
        <f>C3/(C3+D3)</f>
        <v>0.625</v>
      </c>
      <c r="I3" s="1">
        <f>C3/(C3+E3)</f>
        <v>1</v>
      </c>
      <c r="J3" s="1">
        <f>108/(108+D3)</f>
        <v>0.97297297297297303</v>
      </c>
      <c r="K3" s="7">
        <f>(I3+J3)/2</f>
        <v>0.98648648648648651</v>
      </c>
      <c r="L3">
        <v>5</v>
      </c>
      <c r="M3">
        <v>5</v>
      </c>
      <c r="N3">
        <v>0</v>
      </c>
      <c r="O3">
        <v>0</v>
      </c>
      <c r="P3" s="2">
        <f>N3/(N3+108)</f>
        <v>0</v>
      </c>
      <c r="Q3" s="1">
        <f>O3/(M3+O3)</f>
        <v>0</v>
      </c>
      <c r="R3" s="1">
        <f>M3/(M3+N3)</f>
        <v>1</v>
      </c>
      <c r="S3" s="1">
        <f>M3/(M3+O3)</f>
        <v>1</v>
      </c>
      <c r="T3" s="1">
        <f>108/(108+N3)</f>
        <v>1</v>
      </c>
      <c r="U3" s="1">
        <f>(S3+T3)/2</f>
        <v>1</v>
      </c>
    </row>
    <row r="4" spans="1:21" x14ac:dyDescent="0.3">
      <c r="A4">
        <v>0.6</v>
      </c>
      <c r="B4">
        <v>5</v>
      </c>
      <c r="C4">
        <v>4</v>
      </c>
      <c r="D4">
        <v>1</v>
      </c>
      <c r="E4">
        <v>1</v>
      </c>
      <c r="F4" s="3">
        <f t="shared" ref="F4:F7" si="0">D4/(D4+108)</f>
        <v>9.1743119266055051E-3</v>
      </c>
      <c r="G4" s="1">
        <f t="shared" ref="G4:G6" si="1">E4/(C4+E4)</f>
        <v>0.2</v>
      </c>
      <c r="H4" s="1">
        <f t="shared" ref="H4:H7" si="2">C4/(C4+D4)</f>
        <v>0.8</v>
      </c>
      <c r="I4" s="1">
        <f t="shared" ref="I4:I7" si="3">C4/(C4+E4)</f>
        <v>0.8</v>
      </c>
      <c r="J4" s="1">
        <f t="shared" ref="J4:J7" si="4">108/(108+D4)</f>
        <v>0.99082568807339455</v>
      </c>
      <c r="K4" s="7">
        <f t="shared" ref="K4:K7" si="5">(I4+J4)/2</f>
        <v>0.8954128440366973</v>
      </c>
      <c r="L4">
        <v>4</v>
      </c>
      <c r="M4">
        <v>4</v>
      </c>
      <c r="N4">
        <v>0</v>
      </c>
      <c r="O4">
        <v>1</v>
      </c>
      <c r="P4" s="2">
        <f t="shared" ref="P4:P7" si="6">N4/(N4+108)</f>
        <v>0</v>
      </c>
      <c r="Q4" s="1">
        <f t="shared" ref="Q4:Q7" si="7">O4/(M4+O4)</f>
        <v>0.2</v>
      </c>
      <c r="R4" s="1">
        <f t="shared" ref="R4:R7" si="8">M4/(M4+N4)</f>
        <v>1</v>
      </c>
      <c r="S4" s="1">
        <f t="shared" ref="S4:S7" si="9">M4/(M4+O4)</f>
        <v>0.8</v>
      </c>
      <c r="T4" s="1">
        <f t="shared" ref="T4:T7" si="10">108/(108+N4)</f>
        <v>1</v>
      </c>
      <c r="U4" s="1">
        <f t="shared" ref="U4:U7" si="11">(S4+T4)/2</f>
        <v>0.9</v>
      </c>
    </row>
    <row r="5" spans="1:21" x14ac:dyDescent="0.3">
      <c r="A5">
        <v>0.7</v>
      </c>
      <c r="B5">
        <v>5</v>
      </c>
      <c r="C5">
        <v>4</v>
      </c>
      <c r="D5">
        <v>1</v>
      </c>
      <c r="E5">
        <v>1</v>
      </c>
      <c r="F5" s="3">
        <f t="shared" si="0"/>
        <v>9.1743119266055051E-3</v>
      </c>
      <c r="G5" s="1">
        <f t="shared" si="1"/>
        <v>0.2</v>
      </c>
      <c r="H5" s="1">
        <f t="shared" si="2"/>
        <v>0.8</v>
      </c>
      <c r="I5" s="1">
        <f t="shared" si="3"/>
        <v>0.8</v>
      </c>
      <c r="J5" s="1">
        <f t="shared" si="4"/>
        <v>0.99082568807339455</v>
      </c>
      <c r="K5" s="7">
        <f t="shared" si="5"/>
        <v>0.8954128440366973</v>
      </c>
      <c r="L5">
        <v>4</v>
      </c>
      <c r="M5">
        <v>4</v>
      </c>
      <c r="N5">
        <v>0</v>
      </c>
      <c r="O5">
        <v>1</v>
      </c>
      <c r="P5" s="2">
        <f t="shared" si="6"/>
        <v>0</v>
      </c>
      <c r="Q5" s="1">
        <f t="shared" si="7"/>
        <v>0.2</v>
      </c>
      <c r="R5" s="1">
        <f t="shared" si="8"/>
        <v>1</v>
      </c>
      <c r="S5" s="1">
        <f t="shared" si="9"/>
        <v>0.8</v>
      </c>
      <c r="T5" s="1">
        <f t="shared" si="10"/>
        <v>1</v>
      </c>
      <c r="U5" s="1">
        <f t="shared" si="11"/>
        <v>0.9</v>
      </c>
    </row>
    <row r="6" spans="1:21" x14ac:dyDescent="0.3">
      <c r="A6">
        <v>0.8</v>
      </c>
      <c r="B6">
        <v>4</v>
      </c>
      <c r="C6">
        <v>4</v>
      </c>
      <c r="D6">
        <v>0</v>
      </c>
      <c r="E6">
        <v>1</v>
      </c>
      <c r="F6" s="3">
        <f t="shared" si="0"/>
        <v>0</v>
      </c>
      <c r="G6" s="1">
        <f t="shared" si="1"/>
        <v>0.2</v>
      </c>
      <c r="H6" s="1">
        <f t="shared" si="2"/>
        <v>1</v>
      </c>
      <c r="I6" s="1">
        <f t="shared" si="3"/>
        <v>0.8</v>
      </c>
      <c r="J6" s="1">
        <f t="shared" si="4"/>
        <v>1</v>
      </c>
      <c r="K6" s="7">
        <f t="shared" si="5"/>
        <v>0.9</v>
      </c>
      <c r="L6">
        <v>4</v>
      </c>
      <c r="M6">
        <v>4</v>
      </c>
      <c r="N6">
        <v>0</v>
      </c>
      <c r="O6">
        <v>1</v>
      </c>
      <c r="P6" s="2">
        <f t="shared" si="6"/>
        <v>0</v>
      </c>
      <c r="Q6" s="1">
        <f t="shared" si="7"/>
        <v>0.2</v>
      </c>
      <c r="R6" s="1">
        <f t="shared" si="8"/>
        <v>1</v>
      </c>
      <c r="S6" s="1">
        <f t="shared" si="9"/>
        <v>0.8</v>
      </c>
      <c r="T6" s="1">
        <f t="shared" si="10"/>
        <v>1</v>
      </c>
      <c r="U6" s="1">
        <f t="shared" si="11"/>
        <v>0.9</v>
      </c>
    </row>
    <row r="7" spans="1:21" x14ac:dyDescent="0.3">
      <c r="A7">
        <v>0.9</v>
      </c>
      <c r="B7">
        <v>3</v>
      </c>
      <c r="C7">
        <v>3</v>
      </c>
      <c r="D7">
        <v>0</v>
      </c>
      <c r="E7">
        <v>2</v>
      </c>
      <c r="F7" s="3">
        <f t="shared" si="0"/>
        <v>0</v>
      </c>
      <c r="G7" s="1">
        <f>E7/(C7+E7)</f>
        <v>0.4</v>
      </c>
      <c r="H7" s="1">
        <f t="shared" si="2"/>
        <v>1</v>
      </c>
      <c r="I7" s="1">
        <f t="shared" si="3"/>
        <v>0.6</v>
      </c>
      <c r="J7" s="1">
        <f t="shared" si="4"/>
        <v>1</v>
      </c>
      <c r="K7" s="7">
        <f t="shared" si="5"/>
        <v>0.8</v>
      </c>
      <c r="L7">
        <v>3</v>
      </c>
      <c r="M7">
        <v>3</v>
      </c>
      <c r="N7">
        <v>0</v>
      </c>
      <c r="O7">
        <v>2</v>
      </c>
      <c r="P7" s="2">
        <f t="shared" si="6"/>
        <v>0</v>
      </c>
      <c r="Q7" s="1">
        <f t="shared" si="7"/>
        <v>0.4</v>
      </c>
      <c r="R7" s="1">
        <f t="shared" si="8"/>
        <v>1</v>
      </c>
      <c r="S7" s="1">
        <f t="shared" si="9"/>
        <v>0.6</v>
      </c>
      <c r="T7" s="1">
        <f t="shared" si="10"/>
        <v>1</v>
      </c>
      <c r="U7" s="1">
        <f t="shared" si="11"/>
        <v>0.8</v>
      </c>
    </row>
    <row r="8" spans="1:21" x14ac:dyDescent="0.3">
      <c r="R8" s="1"/>
      <c r="T8" s="1"/>
    </row>
    <row r="9" spans="1:21" x14ac:dyDescent="0.3">
      <c r="A9" t="s">
        <v>8</v>
      </c>
      <c r="R9" s="1"/>
      <c r="T9" s="1"/>
    </row>
    <row r="10" spans="1:21" x14ac:dyDescent="0.3">
      <c r="B10" t="s">
        <v>0</v>
      </c>
      <c r="C10" t="s">
        <v>9</v>
      </c>
      <c r="D10" t="s">
        <v>2</v>
      </c>
      <c r="E10" t="s">
        <v>3</v>
      </c>
      <c r="F10" t="s">
        <v>4</v>
      </c>
      <c r="G10" s="1" t="s">
        <v>5</v>
      </c>
      <c r="H10" s="1" t="s">
        <v>10</v>
      </c>
      <c r="I10" s="1" t="s">
        <v>11</v>
      </c>
      <c r="J10" s="1" t="s">
        <v>13</v>
      </c>
      <c r="K10" s="7" t="s">
        <v>12</v>
      </c>
      <c r="L10" t="s">
        <v>0</v>
      </c>
      <c r="M10" t="s">
        <v>1</v>
      </c>
      <c r="N10" t="s">
        <v>2</v>
      </c>
      <c r="O10" t="s">
        <v>3</v>
      </c>
      <c r="P10" t="s">
        <v>4</v>
      </c>
      <c r="Q10" t="s">
        <v>5</v>
      </c>
      <c r="R10" s="1"/>
      <c r="S10" s="1" t="s">
        <v>11</v>
      </c>
      <c r="T10" s="1" t="s">
        <v>13</v>
      </c>
      <c r="U10" s="1" t="s">
        <v>12</v>
      </c>
    </row>
    <row r="11" spans="1:21" x14ac:dyDescent="0.3">
      <c r="A11">
        <v>0.5</v>
      </c>
      <c r="B11">
        <v>14</v>
      </c>
      <c r="C11">
        <v>10</v>
      </c>
      <c r="D11">
        <v>4</v>
      </c>
      <c r="E11">
        <v>0</v>
      </c>
      <c r="F11" s="3">
        <f>D11/(D11+108)</f>
        <v>3.5714285714285712E-2</v>
      </c>
      <c r="G11" s="1">
        <f>E11/(C11+E11)</f>
        <v>0</v>
      </c>
      <c r="H11" s="1">
        <f>C11/(C11+D11)</f>
        <v>0.7142857142857143</v>
      </c>
      <c r="I11" s="1">
        <f>C11/(C11+E11)</f>
        <v>1</v>
      </c>
      <c r="J11" s="1">
        <f>108/(108+D11)</f>
        <v>0.9642857142857143</v>
      </c>
      <c r="K11" s="7">
        <f>(I11+J11)/2</f>
        <v>0.98214285714285721</v>
      </c>
      <c r="L11">
        <v>10</v>
      </c>
      <c r="M11">
        <v>10</v>
      </c>
      <c r="N11">
        <v>0</v>
      </c>
      <c r="O11">
        <v>0</v>
      </c>
      <c r="P11" s="2">
        <f>N11/(N11+108)</f>
        <v>0</v>
      </c>
      <c r="Q11" s="1">
        <f>O11/(M11+O11)</f>
        <v>0</v>
      </c>
      <c r="R11" s="1">
        <f>M11/(M11+N11)</f>
        <v>1</v>
      </c>
      <c r="S11" s="1">
        <f>M11/(M11+O11)</f>
        <v>1</v>
      </c>
      <c r="T11" s="1">
        <f>108/(108+N11)</f>
        <v>1</v>
      </c>
      <c r="U11" s="1">
        <f>(S11+T11)/2</f>
        <v>1</v>
      </c>
    </row>
    <row r="12" spans="1:21" x14ac:dyDescent="0.3">
      <c r="A12">
        <v>0.6</v>
      </c>
      <c r="B12">
        <v>10</v>
      </c>
      <c r="C12">
        <v>9</v>
      </c>
      <c r="D12">
        <v>1</v>
      </c>
      <c r="E12">
        <v>1</v>
      </c>
      <c r="F12" s="3">
        <f t="shared" ref="F12:F15" si="12">D12/(D12+108)</f>
        <v>9.1743119266055051E-3</v>
      </c>
      <c r="G12" s="1">
        <f t="shared" ref="G12:G15" si="13">E12/(C12+E12)</f>
        <v>0.1</v>
      </c>
      <c r="H12" s="1">
        <f t="shared" ref="H12:H15" si="14">C12/(C12+D12)</f>
        <v>0.9</v>
      </c>
      <c r="I12" s="1">
        <f t="shared" ref="I12:I15" si="15">C12/(C12+E12)</f>
        <v>0.9</v>
      </c>
      <c r="J12" s="1">
        <f t="shared" ref="J12:J15" si="16">108/(108+D12)</f>
        <v>0.99082568807339455</v>
      </c>
      <c r="K12" s="7">
        <f t="shared" ref="K12:K15" si="17">(I12+J12)/2</f>
        <v>0.94541284403669734</v>
      </c>
      <c r="L12">
        <v>9</v>
      </c>
      <c r="M12">
        <v>9</v>
      </c>
      <c r="N12">
        <v>0</v>
      </c>
      <c r="O12">
        <v>1</v>
      </c>
      <c r="P12" s="2">
        <f t="shared" ref="P12:P15" si="18">N12/(N12+108)</f>
        <v>0</v>
      </c>
      <c r="Q12" s="1">
        <f t="shared" ref="Q12:Q15" si="19">O12/(M12+O12)</f>
        <v>0.1</v>
      </c>
      <c r="R12" s="1">
        <f t="shared" ref="R12:R15" si="20">M12/(M12+N12)</f>
        <v>1</v>
      </c>
      <c r="S12" s="1">
        <f t="shared" ref="S12:S15" si="21">M12/(M12+O12)</f>
        <v>0.9</v>
      </c>
      <c r="T12" s="1">
        <f t="shared" ref="T12:T15" si="22">108/(108+N12)</f>
        <v>1</v>
      </c>
      <c r="U12" s="1">
        <f t="shared" ref="U12:U15" si="23">(S12+T12)/2</f>
        <v>0.95</v>
      </c>
    </row>
    <row r="13" spans="1:21" x14ac:dyDescent="0.3">
      <c r="A13">
        <v>0.7</v>
      </c>
      <c r="B13">
        <v>9</v>
      </c>
      <c r="C13">
        <v>8</v>
      </c>
      <c r="D13">
        <v>1</v>
      </c>
      <c r="E13">
        <v>2</v>
      </c>
      <c r="F13" s="3">
        <f t="shared" si="12"/>
        <v>9.1743119266055051E-3</v>
      </c>
      <c r="G13" s="1">
        <f t="shared" si="13"/>
        <v>0.2</v>
      </c>
      <c r="H13" s="1">
        <f t="shared" si="14"/>
        <v>0.88888888888888884</v>
      </c>
      <c r="I13" s="1">
        <f t="shared" si="15"/>
        <v>0.8</v>
      </c>
      <c r="J13" s="1">
        <f t="shared" si="16"/>
        <v>0.99082568807339455</v>
      </c>
      <c r="K13" s="7">
        <f t="shared" si="17"/>
        <v>0.8954128440366973</v>
      </c>
      <c r="L13">
        <v>8</v>
      </c>
      <c r="M13">
        <v>8</v>
      </c>
      <c r="N13">
        <v>0</v>
      </c>
      <c r="O13">
        <v>2</v>
      </c>
      <c r="P13" s="2">
        <f t="shared" si="18"/>
        <v>0</v>
      </c>
      <c r="Q13" s="1">
        <f t="shared" si="19"/>
        <v>0.2</v>
      </c>
      <c r="R13" s="1">
        <f t="shared" si="20"/>
        <v>1</v>
      </c>
      <c r="S13" s="1">
        <f t="shared" si="21"/>
        <v>0.8</v>
      </c>
      <c r="T13" s="1">
        <f t="shared" si="22"/>
        <v>1</v>
      </c>
      <c r="U13" s="1">
        <f t="shared" si="23"/>
        <v>0.9</v>
      </c>
    </row>
    <row r="14" spans="1:21" x14ac:dyDescent="0.3">
      <c r="A14">
        <v>0.8</v>
      </c>
      <c r="B14">
        <v>6</v>
      </c>
      <c r="C14">
        <v>6</v>
      </c>
      <c r="D14">
        <v>0</v>
      </c>
      <c r="E14">
        <v>4</v>
      </c>
      <c r="F14" s="3">
        <f t="shared" si="12"/>
        <v>0</v>
      </c>
      <c r="G14" s="1">
        <f t="shared" si="13"/>
        <v>0.4</v>
      </c>
      <c r="H14" s="1">
        <f t="shared" si="14"/>
        <v>1</v>
      </c>
      <c r="I14" s="1">
        <f t="shared" si="15"/>
        <v>0.6</v>
      </c>
      <c r="J14" s="1">
        <f t="shared" si="16"/>
        <v>1</v>
      </c>
      <c r="K14" s="7">
        <f t="shared" si="17"/>
        <v>0.8</v>
      </c>
      <c r="L14">
        <v>6</v>
      </c>
      <c r="M14">
        <v>6</v>
      </c>
      <c r="N14">
        <v>0</v>
      </c>
      <c r="O14">
        <v>4</v>
      </c>
      <c r="P14" s="2">
        <f t="shared" si="18"/>
        <v>0</v>
      </c>
      <c r="Q14" s="1">
        <f t="shared" si="19"/>
        <v>0.4</v>
      </c>
      <c r="R14" s="1">
        <f t="shared" si="20"/>
        <v>1</v>
      </c>
      <c r="S14" s="1">
        <f t="shared" si="21"/>
        <v>0.6</v>
      </c>
      <c r="T14" s="1">
        <f t="shared" si="22"/>
        <v>1</v>
      </c>
      <c r="U14" s="1">
        <f t="shared" si="23"/>
        <v>0.8</v>
      </c>
    </row>
    <row r="15" spans="1:21" x14ac:dyDescent="0.3">
      <c r="A15">
        <v>0.9</v>
      </c>
      <c r="B15">
        <v>3</v>
      </c>
      <c r="C15">
        <v>3</v>
      </c>
      <c r="D15">
        <v>0</v>
      </c>
      <c r="E15">
        <v>7</v>
      </c>
      <c r="F15" s="3">
        <f t="shared" si="12"/>
        <v>0</v>
      </c>
      <c r="G15" s="1">
        <f t="shared" si="13"/>
        <v>0.7</v>
      </c>
      <c r="H15" s="1">
        <f t="shared" si="14"/>
        <v>1</v>
      </c>
      <c r="I15" s="1">
        <f t="shared" si="15"/>
        <v>0.3</v>
      </c>
      <c r="J15" s="1">
        <f t="shared" si="16"/>
        <v>1</v>
      </c>
      <c r="K15" s="7">
        <f t="shared" si="17"/>
        <v>0.65</v>
      </c>
      <c r="L15">
        <v>3</v>
      </c>
      <c r="M15">
        <v>3</v>
      </c>
      <c r="N15">
        <v>0</v>
      </c>
      <c r="O15">
        <v>7</v>
      </c>
      <c r="P15" s="2">
        <f t="shared" si="18"/>
        <v>0</v>
      </c>
      <c r="Q15" s="1">
        <f t="shared" si="19"/>
        <v>0.7</v>
      </c>
      <c r="R15" s="1">
        <f t="shared" si="20"/>
        <v>1</v>
      </c>
      <c r="S15" s="1">
        <f t="shared" si="21"/>
        <v>0.3</v>
      </c>
      <c r="T15" s="1">
        <f t="shared" si="22"/>
        <v>1</v>
      </c>
      <c r="U15" s="1">
        <f t="shared" si="23"/>
        <v>0.65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293A-5592-4503-9D63-DE966A7B8871}">
  <dimension ref="A1:K558"/>
  <sheetViews>
    <sheetView zoomScaleNormal="100" workbookViewId="0">
      <selection activeCell="D30" sqref="D30"/>
    </sheetView>
  </sheetViews>
  <sheetFormatPr defaultColWidth="9.109375" defaultRowHeight="14.4" x14ac:dyDescent="0.3"/>
  <cols>
    <col min="1" max="2" width="9.109375" style="10"/>
    <col min="3" max="3" width="7.109375" style="10" customWidth="1"/>
    <col min="4" max="4" width="10.6640625" style="10" bestFit="1" customWidth="1"/>
    <col min="5" max="10" width="9.109375" style="10"/>
    <col min="11" max="11" width="61.44140625" style="10" bestFit="1" customWidth="1"/>
    <col min="12" max="12" width="13.44140625" style="10" bestFit="1" customWidth="1"/>
    <col min="13" max="13" width="19.109375" style="10" bestFit="1" customWidth="1"/>
    <col min="14" max="16384" width="9.109375" style="10"/>
  </cols>
  <sheetData>
    <row r="1" spans="1:11" s="9" customFormat="1" x14ac:dyDescent="0.3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K1" s="9" t="s">
        <v>60</v>
      </c>
    </row>
    <row r="2" spans="1:11" ht="18" x14ac:dyDescent="0.35">
      <c r="A2" s="20" t="s">
        <v>24</v>
      </c>
      <c r="C2" s="28">
        <v>305</v>
      </c>
      <c r="D2" s="28">
        <v>1705416</v>
      </c>
      <c r="E2" s="28" t="s">
        <v>19</v>
      </c>
      <c r="F2" s="28">
        <v>0.99539999999999995</v>
      </c>
      <c r="G2" s="28">
        <v>4.5999999999999999E-3</v>
      </c>
      <c r="H2" s="28" t="s">
        <v>19</v>
      </c>
      <c r="I2" s="28" t="b">
        <v>1</v>
      </c>
      <c r="K2" s="10" t="s">
        <v>61</v>
      </c>
    </row>
    <row r="3" spans="1:11" ht="18" x14ac:dyDescent="0.35">
      <c r="A3" s="20" t="s">
        <v>24</v>
      </c>
      <c r="C3" s="28">
        <v>93</v>
      </c>
      <c r="D3" s="28">
        <v>1705109</v>
      </c>
      <c r="E3" s="28" t="s">
        <v>19</v>
      </c>
      <c r="F3" s="28">
        <v>0.98570000000000002</v>
      </c>
      <c r="G3" s="28">
        <v>1.43E-2</v>
      </c>
      <c r="H3" s="28" t="s">
        <v>19</v>
      </c>
      <c r="I3" s="28" t="b">
        <v>1</v>
      </c>
    </row>
    <row r="4" spans="1:11" ht="18" x14ac:dyDescent="0.35">
      <c r="A4" s="20" t="s">
        <v>24</v>
      </c>
      <c r="C4" s="28">
        <v>236</v>
      </c>
      <c r="D4" s="28">
        <v>1706298</v>
      </c>
      <c r="E4" s="28" t="s">
        <v>19</v>
      </c>
      <c r="F4" s="28">
        <v>0.93010000000000004</v>
      </c>
      <c r="G4" s="28">
        <v>6.9900000000000004E-2</v>
      </c>
      <c r="H4" s="28" t="s">
        <v>19</v>
      </c>
      <c r="I4" s="28" t="b">
        <v>1</v>
      </c>
    </row>
    <row r="5" spans="1:11" ht="18" x14ac:dyDescent="0.35">
      <c r="A5" s="22" t="s">
        <v>25</v>
      </c>
      <c r="C5" s="10">
        <v>245</v>
      </c>
      <c r="D5" s="12">
        <v>1705307</v>
      </c>
      <c r="E5" s="10" t="s">
        <v>19</v>
      </c>
      <c r="F5" s="10">
        <v>0.91449999999999998</v>
      </c>
      <c r="G5" s="10">
        <v>8.5500000000000007E-2</v>
      </c>
      <c r="H5" s="10" t="s">
        <v>26</v>
      </c>
      <c r="I5" s="10" t="b">
        <v>0</v>
      </c>
      <c r="J5" s="28" t="s">
        <v>27</v>
      </c>
    </row>
    <row r="6" spans="1:11" ht="18" x14ac:dyDescent="0.35">
      <c r="A6" s="20" t="s">
        <v>24</v>
      </c>
      <c r="C6" s="28">
        <v>65</v>
      </c>
      <c r="D6" s="28">
        <v>1706081</v>
      </c>
      <c r="E6" s="28" t="s">
        <v>19</v>
      </c>
      <c r="F6" s="28">
        <v>0.90449999999999997</v>
      </c>
      <c r="G6" s="28">
        <v>9.5500000000000002E-2</v>
      </c>
      <c r="H6" s="28" t="s">
        <v>19</v>
      </c>
      <c r="I6" s="28" t="b">
        <v>1</v>
      </c>
    </row>
    <row r="7" spans="1:11" s="13" customFormat="1" ht="18" x14ac:dyDescent="0.35">
      <c r="A7" s="20" t="s">
        <v>24</v>
      </c>
      <c r="C7" s="14">
        <v>246</v>
      </c>
      <c r="D7" s="14">
        <v>1705308</v>
      </c>
      <c r="E7" s="14" t="s">
        <v>19</v>
      </c>
      <c r="F7" s="14">
        <v>0.90400000000000003</v>
      </c>
      <c r="G7" s="14">
        <v>9.6000000000000002E-2</v>
      </c>
      <c r="H7" s="14" t="s">
        <v>19</v>
      </c>
      <c r="I7" s="14" t="b">
        <v>1</v>
      </c>
    </row>
    <row r="8" spans="1:11" ht="18" x14ac:dyDescent="0.35">
      <c r="A8" s="20" t="s">
        <v>24</v>
      </c>
      <c r="C8" s="28">
        <v>92</v>
      </c>
      <c r="D8" s="28">
        <v>1705108</v>
      </c>
      <c r="E8" s="28" t="s">
        <v>19</v>
      </c>
      <c r="F8" s="28">
        <v>0.88370000000000004</v>
      </c>
      <c r="G8" s="28">
        <v>0.1163</v>
      </c>
      <c r="H8" s="28" t="s">
        <v>19</v>
      </c>
      <c r="I8" s="28" t="b">
        <v>1</v>
      </c>
    </row>
    <row r="9" spans="1:11" ht="18" x14ac:dyDescent="0.35">
      <c r="A9" s="22" t="s">
        <v>25</v>
      </c>
      <c r="C9" s="10">
        <v>286</v>
      </c>
      <c r="D9" s="12">
        <v>1705385</v>
      </c>
      <c r="E9" s="10" t="s">
        <v>19</v>
      </c>
      <c r="F9" s="10">
        <v>0.88129999999999997</v>
      </c>
      <c r="G9" s="10">
        <v>0.1187</v>
      </c>
      <c r="H9" s="10" t="s">
        <v>31</v>
      </c>
      <c r="I9" s="10" t="b">
        <v>0</v>
      </c>
      <c r="J9" s="28" t="s">
        <v>27</v>
      </c>
    </row>
    <row r="10" spans="1:11" ht="18" x14ac:dyDescent="0.35">
      <c r="B10" s="24" t="s">
        <v>25</v>
      </c>
      <c r="C10" s="10">
        <v>234</v>
      </c>
      <c r="D10" s="10">
        <v>1706296</v>
      </c>
      <c r="E10" s="10" t="s">
        <v>19</v>
      </c>
      <c r="F10" s="10">
        <v>0.87380000000000002</v>
      </c>
      <c r="G10" s="10">
        <v>0.12620000000000001</v>
      </c>
      <c r="H10" s="10" t="s">
        <v>31</v>
      </c>
      <c r="I10" s="10" t="b">
        <v>0</v>
      </c>
      <c r="J10" s="36" t="s">
        <v>29</v>
      </c>
      <c r="K10" s="10" t="s">
        <v>62</v>
      </c>
    </row>
    <row r="11" spans="1:11" ht="18" x14ac:dyDescent="0.35">
      <c r="A11" s="20" t="s">
        <v>24</v>
      </c>
      <c r="C11" s="28">
        <v>72</v>
      </c>
      <c r="D11" s="28">
        <v>1706091</v>
      </c>
      <c r="E11" s="28" t="s">
        <v>19</v>
      </c>
      <c r="F11" s="28">
        <v>0.87150000000000005</v>
      </c>
      <c r="G11" s="28">
        <v>0.1285</v>
      </c>
      <c r="H11" s="28" t="s">
        <v>19</v>
      </c>
      <c r="I11" s="28" t="b">
        <v>1</v>
      </c>
    </row>
    <row r="12" spans="1:11" ht="18" x14ac:dyDescent="0.35">
      <c r="A12" s="20" t="s">
        <v>24</v>
      </c>
      <c r="C12" s="28">
        <v>4</v>
      </c>
      <c r="D12" s="28">
        <v>1706007</v>
      </c>
      <c r="E12" s="28" t="s">
        <v>19</v>
      </c>
      <c r="F12" s="28">
        <v>0.87109999999999999</v>
      </c>
      <c r="G12" s="28">
        <v>0.12889999999999999</v>
      </c>
      <c r="H12" s="28" t="s">
        <v>19</v>
      </c>
      <c r="I12" s="28" t="b">
        <v>1</v>
      </c>
    </row>
    <row r="13" spans="1:11" ht="18" x14ac:dyDescent="0.35">
      <c r="A13" s="20" t="s">
        <v>24</v>
      </c>
      <c r="C13" s="28">
        <v>233</v>
      </c>
      <c r="D13" s="28">
        <v>1705280</v>
      </c>
      <c r="E13" s="28" t="s">
        <v>19</v>
      </c>
      <c r="F13" s="28">
        <v>0.86929999999999996</v>
      </c>
      <c r="G13" s="28">
        <v>0.13070000000000001</v>
      </c>
      <c r="H13" s="28" t="s">
        <v>19</v>
      </c>
      <c r="I13" s="28" t="b">
        <v>1</v>
      </c>
    </row>
    <row r="14" spans="1:11" ht="18" x14ac:dyDescent="0.35">
      <c r="A14" s="22" t="s">
        <v>25</v>
      </c>
      <c r="C14" s="10">
        <v>66</v>
      </c>
      <c r="D14" s="12">
        <v>1705075</v>
      </c>
      <c r="E14" s="10" t="s">
        <v>19</v>
      </c>
      <c r="F14" s="10">
        <v>0.86860000000000004</v>
      </c>
      <c r="G14" s="10">
        <v>0.13139999999999999</v>
      </c>
      <c r="H14" s="10" t="s">
        <v>31</v>
      </c>
      <c r="I14" s="10" t="b">
        <v>0</v>
      </c>
      <c r="J14" s="28" t="s">
        <v>27</v>
      </c>
    </row>
    <row r="15" spans="1:11" ht="18" x14ac:dyDescent="0.35">
      <c r="A15" s="20" t="s">
        <v>24</v>
      </c>
      <c r="C15" s="28">
        <v>230</v>
      </c>
      <c r="D15" s="28">
        <v>1705276</v>
      </c>
      <c r="E15" s="28" t="s">
        <v>19</v>
      </c>
      <c r="F15" s="28">
        <v>0.8639</v>
      </c>
      <c r="G15" s="28">
        <v>0.1361</v>
      </c>
      <c r="H15" s="28" t="s">
        <v>19</v>
      </c>
      <c r="I15" s="28" t="b">
        <v>1</v>
      </c>
    </row>
    <row r="16" spans="1:11" ht="18" x14ac:dyDescent="0.35">
      <c r="A16" s="20" t="s">
        <v>24</v>
      </c>
      <c r="C16" s="28">
        <v>232</v>
      </c>
      <c r="D16" s="28">
        <v>1705279</v>
      </c>
      <c r="E16" s="28" t="s">
        <v>19</v>
      </c>
      <c r="F16" s="28">
        <v>0.86060000000000003</v>
      </c>
      <c r="G16" s="28">
        <v>0.1394</v>
      </c>
      <c r="H16" s="28" t="s">
        <v>19</v>
      </c>
      <c r="I16" s="28" t="b">
        <v>1</v>
      </c>
    </row>
    <row r="17" spans="1:11" ht="18" x14ac:dyDescent="0.35">
      <c r="A17" s="20" t="s">
        <v>24</v>
      </c>
      <c r="C17" s="28">
        <v>15</v>
      </c>
      <c r="D17" s="28">
        <v>1705016</v>
      </c>
      <c r="E17" s="28" t="s">
        <v>19</v>
      </c>
      <c r="F17" s="28">
        <v>0.85360000000000003</v>
      </c>
      <c r="G17" s="28">
        <v>0.1464</v>
      </c>
      <c r="H17" s="28" t="s">
        <v>19</v>
      </c>
      <c r="I17" s="28" t="b">
        <v>1</v>
      </c>
    </row>
    <row r="18" spans="1:11" ht="18" x14ac:dyDescent="0.35">
      <c r="A18" s="20" t="s">
        <v>24</v>
      </c>
      <c r="C18" s="28">
        <v>59</v>
      </c>
      <c r="D18" s="28">
        <v>1705067</v>
      </c>
      <c r="E18" s="28" t="s">
        <v>19</v>
      </c>
      <c r="F18" s="28">
        <v>0.85119999999999996</v>
      </c>
      <c r="G18" s="28">
        <v>0.14879999999999999</v>
      </c>
      <c r="H18" s="28" t="s">
        <v>19</v>
      </c>
      <c r="I18" s="28" t="b">
        <v>1</v>
      </c>
    </row>
    <row r="19" spans="1:11" ht="18" x14ac:dyDescent="0.35">
      <c r="A19" s="22" t="s">
        <v>25</v>
      </c>
      <c r="C19" s="10">
        <v>175</v>
      </c>
      <c r="D19" s="12">
        <v>1705210</v>
      </c>
      <c r="E19" s="10" t="s">
        <v>19</v>
      </c>
      <c r="F19" s="10">
        <v>0.84770000000000001</v>
      </c>
      <c r="G19" s="10">
        <v>0.15229999999999999</v>
      </c>
      <c r="H19" s="10" t="s">
        <v>19</v>
      </c>
      <c r="I19" s="10" t="b">
        <v>0</v>
      </c>
      <c r="J19" s="28" t="s">
        <v>27</v>
      </c>
      <c r="K19" s="10" t="s">
        <v>96</v>
      </c>
    </row>
    <row r="20" spans="1:11" ht="18" x14ac:dyDescent="0.35">
      <c r="A20" s="22" t="s">
        <v>25</v>
      </c>
      <c r="C20" s="10">
        <v>237</v>
      </c>
      <c r="D20" s="12">
        <v>1705292</v>
      </c>
      <c r="E20" s="10" t="s">
        <v>19</v>
      </c>
      <c r="F20" s="10">
        <v>0.84340000000000004</v>
      </c>
      <c r="G20" s="10">
        <v>0.15659999999999999</v>
      </c>
      <c r="H20" s="10" t="s">
        <v>31</v>
      </c>
      <c r="I20" s="10" t="b">
        <v>0</v>
      </c>
      <c r="J20" s="28" t="s">
        <v>27</v>
      </c>
    </row>
    <row r="21" spans="1:11" ht="18" x14ac:dyDescent="0.35">
      <c r="B21" s="24" t="s">
        <v>25</v>
      </c>
      <c r="C21" s="10">
        <v>225</v>
      </c>
      <c r="D21" s="10">
        <v>1706279</v>
      </c>
      <c r="E21" s="10" t="s">
        <v>19</v>
      </c>
      <c r="F21" s="10">
        <v>0.83730000000000004</v>
      </c>
      <c r="G21" s="10">
        <v>0.16270000000000001</v>
      </c>
      <c r="H21" s="10" t="s">
        <v>31</v>
      </c>
      <c r="I21" s="10" t="b">
        <v>0</v>
      </c>
      <c r="J21" s="36" t="s">
        <v>29</v>
      </c>
      <c r="K21" s="10" t="s">
        <v>63</v>
      </c>
    </row>
    <row r="22" spans="1:11" ht="18" x14ac:dyDescent="0.35">
      <c r="A22" s="20" t="s">
        <v>24</v>
      </c>
      <c r="C22" s="28">
        <v>81</v>
      </c>
      <c r="D22" s="28">
        <v>1706101</v>
      </c>
      <c r="E22" s="28" t="s">
        <v>19</v>
      </c>
      <c r="F22" s="28">
        <v>0.83379999999999999</v>
      </c>
      <c r="G22" s="28">
        <v>0.16619999999999999</v>
      </c>
      <c r="H22" s="28" t="s">
        <v>19</v>
      </c>
      <c r="I22" s="28" t="b">
        <v>1</v>
      </c>
    </row>
    <row r="23" spans="1:11" ht="18" x14ac:dyDescent="0.35">
      <c r="A23" s="20" t="s">
        <v>24</v>
      </c>
      <c r="C23" s="28">
        <v>227</v>
      </c>
      <c r="D23" s="28">
        <v>1706281</v>
      </c>
      <c r="E23" s="28" t="s">
        <v>19</v>
      </c>
      <c r="F23" s="28">
        <v>0.83040000000000003</v>
      </c>
      <c r="G23" s="28">
        <v>0.1696</v>
      </c>
      <c r="H23" s="28" t="s">
        <v>19</v>
      </c>
      <c r="I23" s="28" t="b">
        <v>1</v>
      </c>
    </row>
    <row r="24" spans="1:11" ht="18" x14ac:dyDescent="0.35">
      <c r="A24" s="22" t="s">
        <v>25</v>
      </c>
      <c r="C24" s="10">
        <v>216</v>
      </c>
      <c r="D24" s="12">
        <v>1706269</v>
      </c>
      <c r="E24" s="10" t="s">
        <v>19</v>
      </c>
      <c r="F24" s="10">
        <v>0.82609999999999995</v>
      </c>
      <c r="G24" s="10">
        <v>0.1739</v>
      </c>
      <c r="H24" s="10" t="s">
        <v>31</v>
      </c>
      <c r="I24" s="10" t="b">
        <v>0</v>
      </c>
      <c r="J24" s="28" t="s">
        <v>27</v>
      </c>
    </row>
    <row r="25" spans="1:11" ht="18" x14ac:dyDescent="0.35">
      <c r="A25" s="20" t="s">
        <v>24</v>
      </c>
      <c r="C25" s="28">
        <v>233</v>
      </c>
      <c r="D25" s="28">
        <v>1706295</v>
      </c>
      <c r="E25" s="28" t="s">
        <v>19</v>
      </c>
      <c r="F25" s="28">
        <v>0.8256</v>
      </c>
      <c r="G25" s="28">
        <v>0.1744</v>
      </c>
      <c r="H25" s="28" t="s">
        <v>19</v>
      </c>
      <c r="I25" s="28" t="b">
        <v>1</v>
      </c>
    </row>
    <row r="26" spans="1:11" ht="18" x14ac:dyDescent="0.35">
      <c r="A26" s="22" t="s">
        <v>25</v>
      </c>
      <c r="C26" s="10">
        <v>105</v>
      </c>
      <c r="D26" s="12">
        <v>1706127</v>
      </c>
      <c r="E26" s="10" t="s">
        <v>19</v>
      </c>
      <c r="F26" s="10">
        <v>0.81720000000000004</v>
      </c>
      <c r="G26" s="10">
        <v>0.18279999999999999</v>
      </c>
      <c r="H26" s="10" t="s">
        <v>31</v>
      </c>
      <c r="I26" s="10" t="b">
        <v>0</v>
      </c>
      <c r="J26" s="28" t="s">
        <v>27</v>
      </c>
    </row>
    <row r="27" spans="1:11" ht="18" x14ac:dyDescent="0.35">
      <c r="A27" s="22" t="s">
        <v>25</v>
      </c>
      <c r="C27" s="10">
        <v>183</v>
      </c>
      <c r="D27" s="12">
        <v>1706132</v>
      </c>
      <c r="E27" s="10" t="s">
        <v>19</v>
      </c>
      <c r="F27" s="10">
        <v>0.80979999999999996</v>
      </c>
      <c r="G27" s="10">
        <v>0.19020000000000001</v>
      </c>
      <c r="H27" s="10" t="s">
        <v>31</v>
      </c>
      <c r="I27" s="10" t="b">
        <v>0</v>
      </c>
      <c r="J27" s="28" t="s">
        <v>27</v>
      </c>
    </row>
    <row r="28" spans="1:11" s="13" customFormat="1" ht="18" x14ac:dyDescent="0.35">
      <c r="A28" s="20" t="s">
        <v>24</v>
      </c>
      <c r="C28" s="14">
        <v>209</v>
      </c>
      <c r="D28" s="14">
        <v>1706256</v>
      </c>
      <c r="E28" s="14" t="s">
        <v>19</v>
      </c>
      <c r="F28" s="14">
        <v>0.80910000000000004</v>
      </c>
      <c r="G28" s="14">
        <v>0.19089999999999999</v>
      </c>
      <c r="H28" s="14" t="s">
        <v>19</v>
      </c>
      <c r="I28" s="14" t="b">
        <v>1</v>
      </c>
    </row>
    <row r="29" spans="1:11" ht="18" x14ac:dyDescent="0.35">
      <c r="A29" s="20" t="s">
        <v>24</v>
      </c>
      <c r="C29" s="28">
        <v>265</v>
      </c>
      <c r="D29" s="28">
        <v>1706338</v>
      </c>
      <c r="E29" s="28" t="s">
        <v>19</v>
      </c>
      <c r="F29" s="28">
        <v>0.79469999999999996</v>
      </c>
      <c r="G29" s="28">
        <v>0.20530000000000001</v>
      </c>
      <c r="H29" s="28" t="s">
        <v>19</v>
      </c>
      <c r="I29" s="28" t="b">
        <v>1</v>
      </c>
    </row>
    <row r="30" spans="1:11" ht="18" x14ac:dyDescent="0.35">
      <c r="A30" s="20" t="s">
        <v>24</v>
      </c>
      <c r="C30" s="28">
        <v>211</v>
      </c>
      <c r="D30" s="28">
        <v>1706258</v>
      </c>
      <c r="E30" s="28" t="s">
        <v>19</v>
      </c>
      <c r="F30" s="28">
        <v>0.79110000000000003</v>
      </c>
      <c r="G30" s="28">
        <v>0.2089</v>
      </c>
      <c r="H30" s="28" t="s">
        <v>19</v>
      </c>
      <c r="I30" s="28" t="b">
        <v>1</v>
      </c>
    </row>
    <row r="31" spans="1:11" ht="18" x14ac:dyDescent="0.35">
      <c r="B31" s="24" t="s">
        <v>25</v>
      </c>
      <c r="C31" s="10">
        <v>258</v>
      </c>
      <c r="D31" s="10">
        <v>1705323</v>
      </c>
      <c r="E31" s="10" t="s">
        <v>19</v>
      </c>
      <c r="F31" s="10">
        <v>0.7742</v>
      </c>
      <c r="G31" s="10">
        <v>0.2258</v>
      </c>
      <c r="H31" s="10" t="s">
        <v>31</v>
      </c>
      <c r="I31" s="10" t="b">
        <v>0</v>
      </c>
      <c r="J31" s="36" t="s">
        <v>29</v>
      </c>
      <c r="K31" s="10" t="s">
        <v>64</v>
      </c>
    </row>
    <row r="32" spans="1:11" ht="18" x14ac:dyDescent="0.35">
      <c r="B32" s="24" t="s">
        <v>25</v>
      </c>
      <c r="C32" s="10">
        <v>186</v>
      </c>
      <c r="D32" s="10">
        <v>1705222</v>
      </c>
      <c r="E32" s="10" t="s">
        <v>19</v>
      </c>
      <c r="F32" s="10">
        <v>0.76029999999999998</v>
      </c>
      <c r="G32" s="10">
        <v>0.2397</v>
      </c>
      <c r="H32" s="10" t="s">
        <v>31</v>
      </c>
      <c r="I32" s="10" t="b">
        <v>0</v>
      </c>
      <c r="J32" s="36" t="s">
        <v>29</v>
      </c>
      <c r="K32" s="10" t="s">
        <v>65</v>
      </c>
    </row>
    <row r="33" spans="1:11" ht="18" x14ac:dyDescent="0.35">
      <c r="A33" s="20" t="s">
        <v>24</v>
      </c>
      <c r="C33" s="28">
        <v>179</v>
      </c>
      <c r="D33" s="28">
        <v>1705214</v>
      </c>
      <c r="E33" s="28" t="s">
        <v>19</v>
      </c>
      <c r="F33" s="28">
        <v>0.75639999999999996</v>
      </c>
      <c r="G33" s="28">
        <v>0.24360000000000001</v>
      </c>
      <c r="H33" s="28" t="s">
        <v>19</v>
      </c>
      <c r="I33" s="28" t="b">
        <v>1</v>
      </c>
    </row>
    <row r="34" spans="1:11" ht="18" x14ac:dyDescent="0.35">
      <c r="B34" s="24" t="s">
        <v>25</v>
      </c>
      <c r="C34" s="10">
        <v>229</v>
      </c>
      <c r="D34" s="10">
        <v>1706286</v>
      </c>
      <c r="E34" s="10" t="s">
        <v>19</v>
      </c>
      <c r="F34" s="10">
        <v>0.73440000000000005</v>
      </c>
      <c r="G34" s="10">
        <v>0.2656</v>
      </c>
      <c r="H34" s="10" t="s">
        <v>31</v>
      </c>
      <c r="I34" s="10" t="b">
        <v>0</v>
      </c>
      <c r="J34" s="36" t="s">
        <v>29</v>
      </c>
      <c r="K34" s="10" t="s">
        <v>66</v>
      </c>
    </row>
    <row r="35" spans="1:11" ht="18" x14ac:dyDescent="0.35">
      <c r="B35" s="24" t="s">
        <v>25</v>
      </c>
      <c r="C35" s="10">
        <v>153</v>
      </c>
      <c r="D35" s="10">
        <v>1705177</v>
      </c>
      <c r="E35" s="10" t="s">
        <v>19</v>
      </c>
      <c r="F35" s="10">
        <v>0.73380000000000001</v>
      </c>
      <c r="G35" s="10">
        <v>0.26619999999999999</v>
      </c>
      <c r="H35" s="10" t="s">
        <v>31</v>
      </c>
      <c r="I35" s="10" t="b">
        <v>0</v>
      </c>
      <c r="J35" s="36" t="s">
        <v>29</v>
      </c>
      <c r="K35" s="10" t="s">
        <v>67</v>
      </c>
    </row>
    <row r="36" spans="1:11" ht="18" x14ac:dyDescent="0.35">
      <c r="B36" s="24" t="s">
        <v>25</v>
      </c>
      <c r="C36" s="10">
        <v>87</v>
      </c>
      <c r="D36" s="10">
        <v>1706107</v>
      </c>
      <c r="E36" s="10" t="s">
        <v>19</v>
      </c>
      <c r="F36" s="10">
        <v>0.73129999999999995</v>
      </c>
      <c r="G36" s="10">
        <v>0.26869999999999999</v>
      </c>
      <c r="H36" s="10" t="s">
        <v>31</v>
      </c>
      <c r="I36" s="10" t="b">
        <v>0</v>
      </c>
      <c r="J36" s="36" t="s">
        <v>29</v>
      </c>
      <c r="K36" s="10" t="s">
        <v>66</v>
      </c>
    </row>
    <row r="37" spans="1:11" ht="18" x14ac:dyDescent="0.35">
      <c r="B37" s="24" t="s">
        <v>25</v>
      </c>
      <c r="C37" s="10">
        <v>73</v>
      </c>
      <c r="D37" s="10">
        <v>1705087</v>
      </c>
      <c r="E37" s="10" t="s">
        <v>19</v>
      </c>
      <c r="F37" s="10">
        <v>0.72950000000000004</v>
      </c>
      <c r="G37" s="10">
        <v>0.27050000000000002</v>
      </c>
      <c r="H37" s="10" t="s">
        <v>31</v>
      </c>
      <c r="I37" s="10" t="b">
        <v>0</v>
      </c>
      <c r="J37" s="36" t="s">
        <v>29</v>
      </c>
      <c r="K37" s="10" t="s">
        <v>67</v>
      </c>
    </row>
    <row r="38" spans="1:11" ht="18" x14ac:dyDescent="0.35">
      <c r="B38" s="24" t="s">
        <v>25</v>
      </c>
      <c r="C38" s="10">
        <v>96</v>
      </c>
      <c r="D38" s="10">
        <v>1705113</v>
      </c>
      <c r="E38" s="10" t="s">
        <v>19</v>
      </c>
      <c r="F38" s="10">
        <v>0.72760000000000002</v>
      </c>
      <c r="G38" s="10">
        <v>0.27239999999999998</v>
      </c>
      <c r="H38" s="10" t="s">
        <v>31</v>
      </c>
      <c r="I38" s="10" t="b">
        <v>0</v>
      </c>
      <c r="J38" s="36" t="s">
        <v>29</v>
      </c>
      <c r="K38" s="10" t="s">
        <v>68</v>
      </c>
    </row>
    <row r="39" spans="1:11" ht="18" x14ac:dyDescent="0.35">
      <c r="B39" s="24" t="s">
        <v>25</v>
      </c>
      <c r="C39" s="10">
        <v>129</v>
      </c>
      <c r="D39" s="10">
        <v>1705152</v>
      </c>
      <c r="E39" s="10" t="s">
        <v>19</v>
      </c>
      <c r="F39" s="10">
        <v>0.7117</v>
      </c>
      <c r="G39" s="10">
        <v>0.2883</v>
      </c>
      <c r="H39" s="10" t="s">
        <v>31</v>
      </c>
      <c r="I39" s="10" t="b">
        <v>0</v>
      </c>
      <c r="J39" s="36" t="s">
        <v>29</v>
      </c>
      <c r="K39" s="10" t="s">
        <v>69</v>
      </c>
    </row>
    <row r="40" spans="1:11" s="13" customFormat="1" ht="18" x14ac:dyDescent="0.35">
      <c r="A40" s="22" t="s">
        <v>25</v>
      </c>
      <c r="C40" s="13">
        <v>52</v>
      </c>
      <c r="D40" s="17">
        <v>1706065</v>
      </c>
      <c r="E40" s="13" t="s">
        <v>19</v>
      </c>
      <c r="F40" s="13">
        <v>0.70450000000000002</v>
      </c>
      <c r="G40" s="13">
        <v>0.29549999999999998</v>
      </c>
      <c r="H40" s="13" t="s">
        <v>31</v>
      </c>
      <c r="I40" s="13" t="b">
        <v>0</v>
      </c>
      <c r="J40" s="14" t="s">
        <v>27</v>
      </c>
    </row>
    <row r="41" spans="1:11" ht="18" x14ac:dyDescent="0.35">
      <c r="A41" s="22" t="s">
        <v>25</v>
      </c>
      <c r="C41" s="10">
        <v>98</v>
      </c>
      <c r="D41" s="12">
        <v>1706120</v>
      </c>
      <c r="E41" s="10" t="s">
        <v>19</v>
      </c>
      <c r="F41" s="10">
        <v>0.69569999999999999</v>
      </c>
      <c r="G41" s="10">
        <v>0.30430000000000001</v>
      </c>
      <c r="H41" s="10" t="s">
        <v>31</v>
      </c>
      <c r="I41" s="10" t="b">
        <v>0</v>
      </c>
      <c r="J41" s="28" t="s">
        <v>27</v>
      </c>
    </row>
    <row r="42" spans="1:11" ht="18" x14ac:dyDescent="0.35">
      <c r="A42" s="20" t="s">
        <v>24</v>
      </c>
      <c r="C42" s="28">
        <v>210</v>
      </c>
      <c r="D42" s="28">
        <v>1706257</v>
      </c>
      <c r="E42" s="28" t="s">
        <v>19</v>
      </c>
      <c r="F42" s="28">
        <v>0.67549999999999999</v>
      </c>
      <c r="G42" s="28">
        <v>0.32450000000000001</v>
      </c>
      <c r="H42" s="28" t="s">
        <v>19</v>
      </c>
      <c r="I42" s="28" t="b">
        <v>1</v>
      </c>
      <c r="K42" s="10" t="s">
        <v>70</v>
      </c>
    </row>
    <row r="43" spans="1:11" ht="18" x14ac:dyDescent="0.35">
      <c r="B43" s="24" t="s">
        <v>25</v>
      </c>
      <c r="C43" s="10">
        <v>302</v>
      </c>
      <c r="D43" s="10">
        <v>1705412</v>
      </c>
      <c r="E43" s="10" t="s">
        <v>19</v>
      </c>
      <c r="F43" s="10">
        <v>0.66400000000000003</v>
      </c>
      <c r="G43" s="10">
        <v>0.33600000000000002</v>
      </c>
      <c r="H43" s="10" t="s">
        <v>31</v>
      </c>
      <c r="I43" s="10" t="b">
        <v>0</v>
      </c>
      <c r="J43" s="36" t="s">
        <v>29</v>
      </c>
      <c r="K43" s="10" t="s">
        <v>71</v>
      </c>
    </row>
    <row r="44" spans="1:11" ht="18" x14ac:dyDescent="0.35">
      <c r="B44" s="24" t="s">
        <v>25</v>
      </c>
      <c r="C44" s="10">
        <v>57</v>
      </c>
      <c r="D44" s="10">
        <v>1705065</v>
      </c>
      <c r="E44" s="10" t="s">
        <v>19</v>
      </c>
      <c r="F44" s="10">
        <v>0.64990000000000003</v>
      </c>
      <c r="G44" s="10">
        <v>0.35010000000000002</v>
      </c>
      <c r="H44" s="10" t="s">
        <v>31</v>
      </c>
      <c r="I44" s="10" t="b">
        <v>0</v>
      </c>
      <c r="J44" s="36" t="s">
        <v>29</v>
      </c>
      <c r="K44" s="10" t="s">
        <v>67</v>
      </c>
    </row>
    <row r="45" spans="1:11" ht="18" x14ac:dyDescent="0.35">
      <c r="B45" s="24" t="s">
        <v>25</v>
      </c>
      <c r="C45" s="10">
        <v>164</v>
      </c>
      <c r="D45" s="10">
        <v>1705190</v>
      </c>
      <c r="E45" s="10" t="s">
        <v>19</v>
      </c>
      <c r="F45" s="10">
        <v>0.64490000000000003</v>
      </c>
      <c r="G45" s="10">
        <v>0.35510000000000003</v>
      </c>
      <c r="H45" s="10" t="s">
        <v>31</v>
      </c>
      <c r="I45" s="10" t="b">
        <v>0</v>
      </c>
      <c r="J45" s="36" t="s">
        <v>29</v>
      </c>
      <c r="K45" s="10" t="s">
        <v>97</v>
      </c>
    </row>
    <row r="46" spans="1:11" ht="18" x14ac:dyDescent="0.35">
      <c r="B46" s="24" t="s">
        <v>25</v>
      </c>
      <c r="C46" s="10">
        <v>246</v>
      </c>
      <c r="D46" s="10">
        <v>1706311</v>
      </c>
      <c r="E46" s="10" t="s">
        <v>19</v>
      </c>
      <c r="F46" s="10">
        <v>0.64139999999999997</v>
      </c>
      <c r="G46" s="10">
        <v>0.35859999999999997</v>
      </c>
      <c r="H46" s="10" t="s">
        <v>38</v>
      </c>
      <c r="I46" s="10" t="b">
        <v>0</v>
      </c>
      <c r="J46" s="36" t="s">
        <v>29</v>
      </c>
      <c r="K46" s="10" t="s">
        <v>66</v>
      </c>
    </row>
    <row r="47" spans="1:11" ht="18" x14ac:dyDescent="0.35">
      <c r="B47" s="24" t="s">
        <v>25</v>
      </c>
      <c r="C47" s="10">
        <v>95</v>
      </c>
      <c r="D47" s="10">
        <v>1706117</v>
      </c>
      <c r="E47" s="10" t="s">
        <v>19</v>
      </c>
      <c r="F47" s="10">
        <v>0.64039999999999997</v>
      </c>
      <c r="G47" s="10">
        <v>0.35959999999999998</v>
      </c>
      <c r="H47" s="10" t="s">
        <v>31</v>
      </c>
      <c r="I47" s="10" t="b">
        <v>0</v>
      </c>
      <c r="J47" s="36" t="s">
        <v>29</v>
      </c>
      <c r="K47" s="10" t="s">
        <v>66</v>
      </c>
    </row>
    <row r="48" spans="1:11" ht="18" x14ac:dyDescent="0.35">
      <c r="B48" s="24" t="s">
        <v>25</v>
      </c>
      <c r="C48" s="10">
        <v>221</v>
      </c>
      <c r="D48" s="10">
        <v>1705262</v>
      </c>
      <c r="E48" s="10" t="s">
        <v>19</v>
      </c>
      <c r="F48" s="10">
        <v>0.63439999999999996</v>
      </c>
      <c r="G48" s="10">
        <v>0.36559999999999998</v>
      </c>
      <c r="H48" s="10" t="s">
        <v>31</v>
      </c>
      <c r="I48" s="10" t="b">
        <v>0</v>
      </c>
      <c r="J48" s="36" t="s">
        <v>29</v>
      </c>
      <c r="K48" s="10" t="s">
        <v>67</v>
      </c>
    </row>
    <row r="49" spans="1:11" ht="18" x14ac:dyDescent="0.35">
      <c r="B49" s="24" t="s">
        <v>25</v>
      </c>
      <c r="C49" s="10">
        <v>247</v>
      </c>
      <c r="D49" s="10">
        <v>1705309</v>
      </c>
      <c r="E49" s="10" t="s">
        <v>19</v>
      </c>
      <c r="F49" s="10">
        <v>0.63019999999999998</v>
      </c>
      <c r="G49" s="10">
        <v>0.36980000000000002</v>
      </c>
      <c r="H49" s="10" t="s">
        <v>31</v>
      </c>
      <c r="I49" s="10" t="b">
        <v>0</v>
      </c>
      <c r="J49" s="36" t="s">
        <v>29</v>
      </c>
      <c r="K49" s="10" t="s">
        <v>72</v>
      </c>
    </row>
    <row r="50" spans="1:11" ht="18" x14ac:dyDescent="0.35">
      <c r="B50" s="24" t="s">
        <v>25</v>
      </c>
      <c r="C50" s="10">
        <v>85</v>
      </c>
      <c r="D50" s="10">
        <v>1706105</v>
      </c>
      <c r="E50" s="10" t="s">
        <v>19</v>
      </c>
      <c r="F50" s="10">
        <v>0.62860000000000005</v>
      </c>
      <c r="G50" s="10">
        <v>0.37140000000000001</v>
      </c>
      <c r="H50" s="10" t="s">
        <v>31</v>
      </c>
      <c r="I50" s="10" t="b">
        <v>0</v>
      </c>
      <c r="J50" s="36" t="s">
        <v>29</v>
      </c>
      <c r="K50" s="10" t="s">
        <v>62</v>
      </c>
    </row>
    <row r="51" spans="1:11" ht="18" x14ac:dyDescent="0.35">
      <c r="A51" s="22" t="s">
        <v>25</v>
      </c>
      <c r="C51" s="10">
        <v>239</v>
      </c>
      <c r="D51" s="12">
        <v>1706303</v>
      </c>
      <c r="E51" s="10" t="s">
        <v>19</v>
      </c>
      <c r="F51" s="10">
        <v>0.61619999999999997</v>
      </c>
      <c r="G51" s="10">
        <v>0.38379999999999997</v>
      </c>
      <c r="H51" s="10" t="s">
        <v>31</v>
      </c>
      <c r="I51" s="10" t="b">
        <v>0</v>
      </c>
      <c r="J51" s="28" t="s">
        <v>27</v>
      </c>
      <c r="K51" s="10" t="s">
        <v>73</v>
      </c>
    </row>
    <row r="52" spans="1:11" ht="18" x14ac:dyDescent="0.35">
      <c r="B52" s="24" t="s">
        <v>25</v>
      </c>
      <c r="C52" s="10">
        <v>86</v>
      </c>
      <c r="D52" s="10">
        <v>1706106</v>
      </c>
      <c r="E52" s="10" t="s">
        <v>19</v>
      </c>
      <c r="F52" s="10">
        <v>0.61609999999999998</v>
      </c>
      <c r="G52" s="10">
        <v>0.38390000000000002</v>
      </c>
      <c r="H52" s="10" t="s">
        <v>31</v>
      </c>
      <c r="I52" s="10" t="b">
        <v>0</v>
      </c>
      <c r="J52" s="36" t="s">
        <v>29</v>
      </c>
      <c r="K52" s="10" t="s">
        <v>62</v>
      </c>
    </row>
    <row r="53" spans="1:11" ht="18" x14ac:dyDescent="0.35">
      <c r="B53" s="24" t="s">
        <v>25</v>
      </c>
      <c r="C53" s="10">
        <v>2</v>
      </c>
      <c r="D53" s="10">
        <v>1706003</v>
      </c>
      <c r="E53" s="10" t="s">
        <v>19</v>
      </c>
      <c r="F53" s="10">
        <v>0.6159</v>
      </c>
      <c r="G53" s="10">
        <v>0.3841</v>
      </c>
      <c r="H53" s="10" t="s">
        <v>31</v>
      </c>
      <c r="I53" s="10" t="b">
        <v>0</v>
      </c>
      <c r="J53" s="36" t="s">
        <v>29</v>
      </c>
      <c r="K53" s="10" t="s">
        <v>74</v>
      </c>
    </row>
    <row r="54" spans="1:11" ht="18" x14ac:dyDescent="0.35">
      <c r="A54" s="22" t="s">
        <v>25</v>
      </c>
      <c r="C54" s="10">
        <v>121</v>
      </c>
      <c r="D54" s="12">
        <v>1705142</v>
      </c>
      <c r="E54" s="10" t="s">
        <v>19</v>
      </c>
      <c r="F54" s="10">
        <v>0.60629999999999995</v>
      </c>
      <c r="G54" s="10">
        <v>0.39369999999999999</v>
      </c>
      <c r="H54" s="10" t="s">
        <v>31</v>
      </c>
      <c r="I54" s="10" t="b">
        <v>0</v>
      </c>
      <c r="J54" s="28" t="s">
        <v>27</v>
      </c>
      <c r="K54" s="10" t="s">
        <v>75</v>
      </c>
    </row>
    <row r="55" spans="1:11" s="13" customFormat="1" ht="18" x14ac:dyDescent="0.35">
      <c r="B55" s="24" t="s">
        <v>25</v>
      </c>
      <c r="C55" s="13">
        <v>167</v>
      </c>
      <c r="D55" s="13">
        <v>1705201</v>
      </c>
      <c r="E55" s="13" t="s">
        <v>19</v>
      </c>
      <c r="F55" s="13">
        <v>0.60009999999999997</v>
      </c>
      <c r="G55" s="13">
        <v>0.39989999999999998</v>
      </c>
      <c r="H55" s="13" t="s">
        <v>31</v>
      </c>
      <c r="I55" s="13" t="b">
        <v>0</v>
      </c>
      <c r="J55" s="16" t="s">
        <v>29</v>
      </c>
      <c r="K55" s="13" t="s">
        <v>76</v>
      </c>
    </row>
    <row r="56" spans="1:11" ht="18" x14ac:dyDescent="0.35">
      <c r="B56" s="24" t="s">
        <v>25</v>
      </c>
      <c r="C56" s="10">
        <v>87</v>
      </c>
      <c r="D56" s="10">
        <v>1705102</v>
      </c>
      <c r="E56" s="10" t="s">
        <v>19</v>
      </c>
      <c r="F56" s="10">
        <v>0.59519999999999995</v>
      </c>
      <c r="G56" s="10">
        <v>0.40479999999999999</v>
      </c>
      <c r="H56" s="10" t="s">
        <v>31</v>
      </c>
      <c r="I56" s="10" t="b">
        <v>0</v>
      </c>
      <c r="J56" s="36" t="s">
        <v>29</v>
      </c>
      <c r="K56" s="10" t="s">
        <v>67</v>
      </c>
    </row>
    <row r="57" spans="1:11" ht="18" x14ac:dyDescent="0.35">
      <c r="B57" s="24" t="s">
        <v>25</v>
      </c>
      <c r="C57" s="10">
        <v>272</v>
      </c>
      <c r="D57" s="10">
        <v>1705345</v>
      </c>
      <c r="E57" s="10" t="s">
        <v>19</v>
      </c>
      <c r="F57" s="10">
        <v>0.59</v>
      </c>
      <c r="G57" s="10">
        <v>0.41</v>
      </c>
      <c r="H57" s="10" t="s">
        <v>31</v>
      </c>
      <c r="I57" s="10" t="b">
        <v>0</v>
      </c>
      <c r="J57" s="36" t="s">
        <v>29</v>
      </c>
      <c r="K57" s="10" t="s">
        <v>67</v>
      </c>
    </row>
    <row r="58" spans="1:11" ht="18" x14ac:dyDescent="0.35">
      <c r="B58" s="24" t="s">
        <v>25</v>
      </c>
      <c r="C58" s="10">
        <v>55</v>
      </c>
      <c r="D58" s="10">
        <v>1705063</v>
      </c>
      <c r="E58" s="10" t="s">
        <v>19</v>
      </c>
      <c r="F58" s="10">
        <v>0.58930000000000005</v>
      </c>
      <c r="G58" s="10">
        <v>0.41070000000000001</v>
      </c>
      <c r="H58" s="10" t="s">
        <v>31</v>
      </c>
      <c r="I58" s="10" t="b">
        <v>0</v>
      </c>
      <c r="J58" s="36" t="s">
        <v>29</v>
      </c>
      <c r="K58" s="10" t="s">
        <v>67</v>
      </c>
    </row>
    <row r="59" spans="1:11" ht="18" x14ac:dyDescent="0.35">
      <c r="B59" s="24" t="s">
        <v>25</v>
      </c>
      <c r="C59" s="10">
        <v>248</v>
      </c>
      <c r="D59" s="10">
        <v>1705310</v>
      </c>
      <c r="E59" s="10" t="s">
        <v>19</v>
      </c>
      <c r="F59" s="10">
        <v>0.58499999999999996</v>
      </c>
      <c r="G59" s="10">
        <v>0.41499999999999998</v>
      </c>
      <c r="H59" s="10" t="s">
        <v>31</v>
      </c>
      <c r="I59" s="10" t="b">
        <v>0</v>
      </c>
      <c r="J59" s="36" t="s">
        <v>29</v>
      </c>
      <c r="K59" s="10" t="s">
        <v>68</v>
      </c>
    </row>
    <row r="60" spans="1:11" ht="18" x14ac:dyDescent="0.35">
      <c r="B60" s="24" t="s">
        <v>25</v>
      </c>
      <c r="C60" s="10">
        <v>88</v>
      </c>
      <c r="D60" s="10">
        <v>1705104</v>
      </c>
      <c r="E60" s="10" t="s">
        <v>19</v>
      </c>
      <c r="F60" s="10">
        <v>0.57969999999999999</v>
      </c>
      <c r="G60" s="10">
        <v>0.42030000000000001</v>
      </c>
      <c r="H60" s="10" t="s">
        <v>31</v>
      </c>
      <c r="I60" s="10" t="b">
        <v>0</v>
      </c>
      <c r="J60" s="36" t="s">
        <v>29</v>
      </c>
      <c r="K60" s="10" t="s">
        <v>67</v>
      </c>
    </row>
    <row r="61" spans="1:11" ht="18" x14ac:dyDescent="0.35">
      <c r="B61" s="24" t="s">
        <v>25</v>
      </c>
      <c r="C61" s="10">
        <v>108</v>
      </c>
      <c r="D61" s="10">
        <v>1706133</v>
      </c>
      <c r="E61" s="10" t="s">
        <v>19</v>
      </c>
      <c r="F61" s="10">
        <v>0.57879999999999998</v>
      </c>
      <c r="G61" s="10">
        <v>0.42120000000000002</v>
      </c>
      <c r="H61" s="10" t="s">
        <v>31</v>
      </c>
      <c r="I61" s="10" t="b">
        <v>0</v>
      </c>
      <c r="J61" s="36" t="s">
        <v>29</v>
      </c>
      <c r="K61" s="10" t="s">
        <v>66</v>
      </c>
    </row>
    <row r="62" spans="1:11" ht="18" x14ac:dyDescent="0.35">
      <c r="B62" s="24" t="s">
        <v>25</v>
      </c>
      <c r="C62" s="10">
        <v>127</v>
      </c>
      <c r="D62" s="10">
        <v>1705149</v>
      </c>
      <c r="E62" s="10" t="s">
        <v>19</v>
      </c>
      <c r="F62" s="10">
        <v>0.56240000000000001</v>
      </c>
      <c r="G62" s="10">
        <v>0.43759999999999999</v>
      </c>
      <c r="H62" s="10" t="s">
        <v>31</v>
      </c>
      <c r="I62" s="10" t="b">
        <v>0</v>
      </c>
      <c r="J62" s="36" t="s">
        <v>29</v>
      </c>
      <c r="K62" s="10" t="s">
        <v>67</v>
      </c>
    </row>
    <row r="63" spans="1:11" ht="18" x14ac:dyDescent="0.35">
      <c r="B63" s="24" t="s">
        <v>25</v>
      </c>
      <c r="C63" s="10">
        <v>122</v>
      </c>
      <c r="D63" s="10">
        <v>1705143</v>
      </c>
      <c r="E63" s="10" t="s">
        <v>19</v>
      </c>
      <c r="F63" s="10">
        <v>0.55459999999999998</v>
      </c>
      <c r="G63" s="10">
        <v>0.44540000000000002</v>
      </c>
      <c r="H63" s="10" t="s">
        <v>31</v>
      </c>
      <c r="I63" s="10" t="b">
        <v>0</v>
      </c>
      <c r="J63" s="36" t="s">
        <v>29</v>
      </c>
      <c r="K63" s="10" t="s">
        <v>67</v>
      </c>
    </row>
    <row r="64" spans="1:11" ht="18" x14ac:dyDescent="0.35">
      <c r="B64" s="24" t="s">
        <v>25</v>
      </c>
      <c r="C64" s="10">
        <v>185</v>
      </c>
      <c r="D64" s="10">
        <v>1706219</v>
      </c>
      <c r="E64" s="10" t="s">
        <v>19</v>
      </c>
      <c r="F64" s="10">
        <v>0.53500000000000003</v>
      </c>
      <c r="G64" s="10">
        <v>0.46500000000000002</v>
      </c>
      <c r="H64" s="10" t="s">
        <v>31</v>
      </c>
      <c r="I64" s="10" t="b">
        <v>0</v>
      </c>
      <c r="J64" s="36" t="s">
        <v>29</v>
      </c>
      <c r="K64" s="10" t="s">
        <v>74</v>
      </c>
    </row>
    <row r="65" spans="2:11" ht="18" x14ac:dyDescent="0.35">
      <c r="B65" s="24" t="s">
        <v>25</v>
      </c>
      <c r="C65" s="10">
        <v>16</v>
      </c>
      <c r="D65" s="10">
        <v>1706023</v>
      </c>
      <c r="E65" s="10" t="s">
        <v>19</v>
      </c>
      <c r="F65" s="10">
        <v>0.53459999999999996</v>
      </c>
      <c r="G65" s="10">
        <v>0.46539999999999998</v>
      </c>
      <c r="H65" s="10" t="s">
        <v>31</v>
      </c>
      <c r="I65" s="10" t="b">
        <v>0</v>
      </c>
      <c r="J65" s="36" t="s">
        <v>29</v>
      </c>
      <c r="K65" s="10" t="s">
        <v>66</v>
      </c>
    </row>
    <row r="66" spans="2:11" ht="18" x14ac:dyDescent="0.35">
      <c r="B66" s="24" t="s">
        <v>25</v>
      </c>
      <c r="C66" s="10">
        <v>250</v>
      </c>
      <c r="D66" s="10">
        <v>1705313</v>
      </c>
      <c r="E66" s="10" t="s">
        <v>19</v>
      </c>
      <c r="F66" s="10">
        <v>0.5272</v>
      </c>
      <c r="G66" s="10">
        <v>0.4728</v>
      </c>
      <c r="H66" s="10" t="s">
        <v>31</v>
      </c>
      <c r="I66" s="10" t="b">
        <v>0</v>
      </c>
      <c r="J66" s="36" t="s">
        <v>29</v>
      </c>
      <c r="K66" s="10" t="s">
        <v>72</v>
      </c>
    </row>
    <row r="67" spans="2:11" ht="18" x14ac:dyDescent="0.35">
      <c r="B67" s="24" t="s">
        <v>25</v>
      </c>
      <c r="C67" s="10">
        <v>234</v>
      </c>
      <c r="D67" s="10">
        <v>1705282</v>
      </c>
      <c r="E67" s="10" t="s">
        <v>19</v>
      </c>
      <c r="F67" s="10">
        <v>0.51559999999999995</v>
      </c>
      <c r="G67" s="10">
        <v>0.4844</v>
      </c>
      <c r="H67" s="10" t="s">
        <v>31</v>
      </c>
      <c r="I67" s="10" t="b">
        <v>0</v>
      </c>
      <c r="J67" s="36" t="s">
        <v>29</v>
      </c>
      <c r="K67" s="10" t="s">
        <v>68</v>
      </c>
    </row>
    <row r="68" spans="2:11" ht="18" x14ac:dyDescent="0.35">
      <c r="B68" s="24" t="s">
        <v>25</v>
      </c>
      <c r="C68" s="10">
        <v>99</v>
      </c>
      <c r="D68" s="10">
        <v>1705116</v>
      </c>
      <c r="E68" s="10" t="s">
        <v>19</v>
      </c>
      <c r="F68" s="10">
        <v>0.50949999999999995</v>
      </c>
      <c r="G68" s="10">
        <v>0.49049999999999999</v>
      </c>
      <c r="H68" s="10" t="s">
        <v>31</v>
      </c>
      <c r="I68" s="10" t="b">
        <v>0</v>
      </c>
      <c r="J68" s="36" t="s">
        <v>29</v>
      </c>
      <c r="K68" s="10" t="s">
        <v>77</v>
      </c>
    </row>
    <row r="69" spans="2:11" s="18" customFormat="1" ht="18.600000000000001" thickBot="1" x14ac:dyDescent="0.4">
      <c r="B69" s="24" t="s">
        <v>25</v>
      </c>
      <c r="C69" s="18">
        <v>58</v>
      </c>
      <c r="D69" s="18">
        <v>1705066</v>
      </c>
      <c r="E69" s="18" t="s">
        <v>19</v>
      </c>
      <c r="F69" s="18">
        <v>0.50760000000000005</v>
      </c>
      <c r="G69" s="18">
        <v>0.4924</v>
      </c>
      <c r="H69" s="18" t="s">
        <v>31</v>
      </c>
      <c r="I69" s="18" t="b">
        <v>0</v>
      </c>
      <c r="J69" s="19" t="s">
        <v>29</v>
      </c>
      <c r="K69" s="18" t="s">
        <v>68</v>
      </c>
    </row>
    <row r="70" spans="2:11" x14ac:dyDescent="0.3">
      <c r="C70" s="10">
        <v>104</v>
      </c>
      <c r="D70" s="10">
        <v>1706126</v>
      </c>
      <c r="E70" s="10" t="s">
        <v>20</v>
      </c>
      <c r="F70" s="10">
        <v>0.49380000000000002</v>
      </c>
      <c r="G70" s="10">
        <v>0.50619999999999998</v>
      </c>
      <c r="H70" s="10" t="s">
        <v>31</v>
      </c>
      <c r="I70" s="10" t="b">
        <v>0</v>
      </c>
    </row>
    <row r="71" spans="2:11" x14ac:dyDescent="0.3">
      <c r="C71" s="10">
        <v>22</v>
      </c>
      <c r="D71" s="10">
        <v>1706030</v>
      </c>
      <c r="E71" s="10" t="s">
        <v>20</v>
      </c>
      <c r="F71" s="10">
        <v>0.48580000000000001</v>
      </c>
      <c r="G71" s="10">
        <v>0.51419999999999999</v>
      </c>
      <c r="H71" s="10" t="s">
        <v>31</v>
      </c>
      <c r="I71" s="10" t="b">
        <v>0</v>
      </c>
    </row>
    <row r="72" spans="2:11" x14ac:dyDescent="0.3">
      <c r="C72" s="10">
        <v>68</v>
      </c>
      <c r="D72" s="10">
        <v>1706086</v>
      </c>
      <c r="E72" s="10" t="s">
        <v>20</v>
      </c>
      <c r="F72" s="10">
        <v>0.4844</v>
      </c>
      <c r="G72" s="10">
        <v>0.51559999999999995</v>
      </c>
      <c r="H72" s="10" t="s">
        <v>31</v>
      </c>
      <c r="I72" s="10" t="b">
        <v>0</v>
      </c>
    </row>
    <row r="73" spans="2:11" x14ac:dyDescent="0.3">
      <c r="C73" s="10">
        <v>236</v>
      </c>
      <c r="D73" s="10">
        <v>1705289</v>
      </c>
      <c r="E73" s="10" t="s">
        <v>20</v>
      </c>
      <c r="F73" s="10">
        <v>0.48420000000000002</v>
      </c>
      <c r="G73" s="10">
        <v>0.51580000000000004</v>
      </c>
      <c r="H73" s="10" t="s">
        <v>31</v>
      </c>
      <c r="I73" s="10" t="b">
        <v>0</v>
      </c>
    </row>
    <row r="74" spans="2:11" x14ac:dyDescent="0.3">
      <c r="C74" s="10">
        <v>303</v>
      </c>
      <c r="D74" s="10">
        <v>1705413</v>
      </c>
      <c r="E74" s="10" t="s">
        <v>20</v>
      </c>
      <c r="F74" s="10">
        <v>0.47820000000000001</v>
      </c>
      <c r="G74" s="10">
        <v>0.52180000000000004</v>
      </c>
      <c r="H74" s="10" t="s">
        <v>31</v>
      </c>
      <c r="I74" s="10" t="b">
        <v>0</v>
      </c>
    </row>
    <row r="75" spans="2:11" x14ac:dyDescent="0.3">
      <c r="C75" s="10">
        <v>223</v>
      </c>
      <c r="D75" s="10">
        <v>1705264</v>
      </c>
      <c r="E75" s="10" t="s">
        <v>20</v>
      </c>
      <c r="F75" s="10">
        <v>0.47670000000000001</v>
      </c>
      <c r="G75" s="10">
        <v>0.52329999999999999</v>
      </c>
      <c r="H75" s="10" t="s">
        <v>38</v>
      </c>
      <c r="I75" s="10" t="b">
        <v>0</v>
      </c>
    </row>
    <row r="76" spans="2:11" x14ac:dyDescent="0.3">
      <c r="C76" s="10">
        <v>279</v>
      </c>
      <c r="D76" s="10">
        <v>1705365</v>
      </c>
      <c r="E76" s="10" t="s">
        <v>20</v>
      </c>
      <c r="F76" s="10">
        <v>0.47210000000000002</v>
      </c>
      <c r="G76" s="10">
        <v>0.52790000000000004</v>
      </c>
      <c r="H76" s="10" t="s">
        <v>31</v>
      </c>
      <c r="I76" s="10" t="b">
        <v>0</v>
      </c>
    </row>
    <row r="77" spans="2:11" x14ac:dyDescent="0.3">
      <c r="C77" s="10">
        <v>225</v>
      </c>
      <c r="D77" s="10">
        <v>1705267</v>
      </c>
      <c r="E77" s="10" t="s">
        <v>20</v>
      </c>
      <c r="F77" s="10">
        <v>0.47110000000000002</v>
      </c>
      <c r="G77" s="10">
        <v>0.52890000000000004</v>
      </c>
      <c r="H77" s="10" t="s">
        <v>31</v>
      </c>
      <c r="I77" s="10" t="b">
        <v>0</v>
      </c>
    </row>
    <row r="78" spans="2:11" x14ac:dyDescent="0.3">
      <c r="C78" s="10">
        <v>240</v>
      </c>
      <c r="D78" s="10">
        <v>1706304</v>
      </c>
      <c r="E78" s="10" t="s">
        <v>20</v>
      </c>
      <c r="F78" s="10">
        <v>0.46560000000000001</v>
      </c>
      <c r="G78" s="10">
        <v>0.53439999999999999</v>
      </c>
      <c r="H78" s="10" t="s">
        <v>31</v>
      </c>
      <c r="I78" s="10" t="b">
        <v>0</v>
      </c>
    </row>
    <row r="79" spans="2:11" x14ac:dyDescent="0.3">
      <c r="C79" s="10">
        <v>64</v>
      </c>
      <c r="D79" s="10">
        <v>1706080</v>
      </c>
      <c r="E79" s="10" t="s">
        <v>20</v>
      </c>
      <c r="F79" s="10">
        <v>0.45800000000000002</v>
      </c>
      <c r="G79" s="10">
        <v>0.54200000000000004</v>
      </c>
      <c r="H79" s="10" t="s">
        <v>52</v>
      </c>
      <c r="I79" s="10" t="b">
        <v>0</v>
      </c>
    </row>
    <row r="80" spans="2:11" x14ac:dyDescent="0.3">
      <c r="C80" s="10">
        <v>79</v>
      </c>
      <c r="D80" s="10">
        <v>1705094</v>
      </c>
      <c r="E80" s="10" t="s">
        <v>20</v>
      </c>
      <c r="F80" s="10">
        <v>0.45610000000000001</v>
      </c>
      <c r="G80" s="10">
        <v>0.54390000000000005</v>
      </c>
      <c r="H80" s="10" t="s">
        <v>41</v>
      </c>
      <c r="I80" s="10" t="b">
        <v>0</v>
      </c>
    </row>
    <row r="81" spans="3:9" x14ac:dyDescent="0.3">
      <c r="C81" s="10">
        <v>28</v>
      </c>
      <c r="D81" s="10">
        <v>1706036</v>
      </c>
      <c r="E81" s="10" t="s">
        <v>20</v>
      </c>
      <c r="F81" s="10">
        <v>0.44829999999999998</v>
      </c>
      <c r="G81" s="10">
        <v>0.55169999999999997</v>
      </c>
      <c r="H81" s="10" t="s">
        <v>31</v>
      </c>
      <c r="I81" s="10" t="b">
        <v>0</v>
      </c>
    </row>
    <row r="82" spans="3:9" x14ac:dyDescent="0.3">
      <c r="C82" s="10">
        <v>166</v>
      </c>
      <c r="D82" s="10">
        <v>1705200</v>
      </c>
      <c r="E82" s="10" t="s">
        <v>20</v>
      </c>
      <c r="F82" s="10">
        <v>0.44059999999999999</v>
      </c>
      <c r="G82" s="10">
        <v>0.55940000000000001</v>
      </c>
      <c r="H82" s="10" t="s">
        <v>31</v>
      </c>
      <c r="I82" s="10" t="b">
        <v>0</v>
      </c>
    </row>
    <row r="83" spans="3:9" x14ac:dyDescent="0.3">
      <c r="C83" s="10">
        <v>171</v>
      </c>
      <c r="D83" s="10">
        <v>1705206</v>
      </c>
      <c r="E83" s="10" t="s">
        <v>20</v>
      </c>
      <c r="F83" s="10">
        <v>0.43840000000000001</v>
      </c>
      <c r="G83" s="10">
        <v>0.56159999999999999</v>
      </c>
      <c r="H83" s="10" t="s">
        <v>31</v>
      </c>
      <c r="I83" s="10" t="b">
        <v>0</v>
      </c>
    </row>
    <row r="84" spans="3:9" x14ac:dyDescent="0.3">
      <c r="C84" s="10">
        <v>306</v>
      </c>
      <c r="D84" s="10">
        <v>1705420</v>
      </c>
      <c r="E84" s="10" t="s">
        <v>20</v>
      </c>
      <c r="F84" s="10">
        <v>0.4345</v>
      </c>
      <c r="G84" s="10">
        <v>0.5655</v>
      </c>
      <c r="H84" s="10" t="s">
        <v>38</v>
      </c>
      <c r="I84" s="10" t="b">
        <v>0</v>
      </c>
    </row>
    <row r="85" spans="3:9" x14ac:dyDescent="0.3">
      <c r="C85" s="10">
        <v>100</v>
      </c>
      <c r="D85" s="10">
        <v>1706122</v>
      </c>
      <c r="E85" s="10" t="s">
        <v>20</v>
      </c>
      <c r="F85" s="10">
        <v>0.42870000000000003</v>
      </c>
      <c r="G85" s="10">
        <v>0.57130000000000003</v>
      </c>
      <c r="H85" s="10" t="s">
        <v>54</v>
      </c>
      <c r="I85" s="10" t="b">
        <v>0</v>
      </c>
    </row>
    <row r="86" spans="3:9" x14ac:dyDescent="0.3">
      <c r="C86" s="10">
        <v>244</v>
      </c>
      <c r="D86" s="10">
        <v>1705306</v>
      </c>
      <c r="E86" s="10" t="s">
        <v>20</v>
      </c>
      <c r="F86" s="10">
        <v>0.42820000000000003</v>
      </c>
      <c r="G86" s="10">
        <v>0.57179999999999997</v>
      </c>
      <c r="H86" s="10" t="s">
        <v>38</v>
      </c>
      <c r="I86" s="10" t="b">
        <v>0</v>
      </c>
    </row>
    <row r="87" spans="3:9" x14ac:dyDescent="0.3">
      <c r="C87" s="10">
        <v>235</v>
      </c>
      <c r="D87" s="10">
        <v>1705287</v>
      </c>
      <c r="E87" s="10" t="s">
        <v>20</v>
      </c>
      <c r="F87" s="10">
        <v>0.42730000000000001</v>
      </c>
      <c r="G87" s="10">
        <v>0.57269999999999999</v>
      </c>
      <c r="H87" s="10" t="s">
        <v>31</v>
      </c>
      <c r="I87" s="10" t="b">
        <v>0</v>
      </c>
    </row>
    <row r="88" spans="3:9" x14ac:dyDescent="0.3">
      <c r="C88" s="10">
        <v>269</v>
      </c>
      <c r="D88" s="10">
        <v>1706345</v>
      </c>
      <c r="E88" s="10" t="s">
        <v>20</v>
      </c>
      <c r="F88" s="10">
        <v>0.42730000000000001</v>
      </c>
      <c r="G88" s="10">
        <v>0.57269999999999999</v>
      </c>
      <c r="H88" s="10" t="s">
        <v>47</v>
      </c>
      <c r="I88" s="10" t="b">
        <v>0</v>
      </c>
    </row>
    <row r="89" spans="3:9" x14ac:dyDescent="0.3">
      <c r="C89" s="10">
        <v>99</v>
      </c>
      <c r="D89" s="10">
        <v>1706121</v>
      </c>
      <c r="E89" s="10" t="s">
        <v>20</v>
      </c>
      <c r="F89" s="10">
        <v>0.42549999999999999</v>
      </c>
      <c r="G89" s="10">
        <v>0.57450000000000001</v>
      </c>
      <c r="H89" s="10" t="s">
        <v>38</v>
      </c>
      <c r="I89" s="10" t="b">
        <v>0</v>
      </c>
    </row>
    <row r="90" spans="3:9" x14ac:dyDescent="0.3">
      <c r="C90" s="10">
        <v>65</v>
      </c>
      <c r="D90" s="10">
        <v>1705074</v>
      </c>
      <c r="E90" s="10" t="s">
        <v>20</v>
      </c>
      <c r="F90" s="10">
        <v>0.4214</v>
      </c>
      <c r="G90" s="10">
        <v>0.5786</v>
      </c>
      <c r="H90" s="10" t="s">
        <v>31</v>
      </c>
      <c r="I90" s="10" t="b">
        <v>0</v>
      </c>
    </row>
    <row r="91" spans="3:9" x14ac:dyDescent="0.3">
      <c r="C91" s="10">
        <v>63</v>
      </c>
      <c r="D91" s="10">
        <v>1706079</v>
      </c>
      <c r="E91" s="10" t="s">
        <v>20</v>
      </c>
      <c r="F91" s="10">
        <v>0.42009999999999997</v>
      </c>
      <c r="G91" s="10">
        <v>0.57989999999999997</v>
      </c>
      <c r="H91" s="10" t="s">
        <v>38</v>
      </c>
      <c r="I91" s="10" t="b">
        <v>0</v>
      </c>
    </row>
    <row r="92" spans="3:9" x14ac:dyDescent="0.3">
      <c r="C92" s="10">
        <v>76</v>
      </c>
      <c r="D92" s="10">
        <v>1705090</v>
      </c>
      <c r="E92" s="10" t="s">
        <v>20</v>
      </c>
      <c r="F92" s="10">
        <v>0.41060000000000002</v>
      </c>
      <c r="G92" s="10">
        <v>0.58940000000000003</v>
      </c>
      <c r="H92" s="10" t="s">
        <v>45</v>
      </c>
      <c r="I92" s="10" t="b">
        <v>0</v>
      </c>
    </row>
    <row r="93" spans="3:9" x14ac:dyDescent="0.3">
      <c r="C93" s="10">
        <v>203</v>
      </c>
      <c r="D93" s="10">
        <v>1706243</v>
      </c>
      <c r="E93" s="10" t="s">
        <v>20</v>
      </c>
      <c r="F93" s="10">
        <v>0.40649999999999997</v>
      </c>
      <c r="G93" s="10">
        <v>0.59350000000000003</v>
      </c>
      <c r="H93" s="10" t="s">
        <v>47</v>
      </c>
      <c r="I93" s="10" t="b">
        <v>0</v>
      </c>
    </row>
    <row r="94" spans="3:9" x14ac:dyDescent="0.3">
      <c r="C94" s="10">
        <v>265</v>
      </c>
      <c r="D94" s="10">
        <v>1705335</v>
      </c>
      <c r="E94" s="10" t="s">
        <v>20</v>
      </c>
      <c r="F94" s="10">
        <v>0.40410000000000001</v>
      </c>
      <c r="G94" s="10">
        <v>0.59589999999999999</v>
      </c>
      <c r="H94" s="10" t="s">
        <v>31</v>
      </c>
      <c r="I94" s="10" t="b">
        <v>0</v>
      </c>
    </row>
    <row r="95" spans="3:9" x14ac:dyDescent="0.3">
      <c r="C95" s="10">
        <v>105</v>
      </c>
      <c r="D95" s="10">
        <v>1705124</v>
      </c>
      <c r="E95" s="10" t="s">
        <v>20</v>
      </c>
      <c r="F95" s="10">
        <v>0.40189999999999998</v>
      </c>
      <c r="G95" s="10">
        <v>0.59809999999999997</v>
      </c>
      <c r="H95" s="10" t="s">
        <v>31</v>
      </c>
      <c r="I95" s="10" t="b">
        <v>0</v>
      </c>
    </row>
    <row r="96" spans="3:9" x14ac:dyDescent="0.3">
      <c r="C96" s="10">
        <v>163</v>
      </c>
      <c r="D96" s="10">
        <v>1705189</v>
      </c>
      <c r="E96" s="10" t="s">
        <v>20</v>
      </c>
      <c r="F96" s="10">
        <v>0.4012</v>
      </c>
      <c r="G96" s="10">
        <v>0.5988</v>
      </c>
      <c r="H96" s="10" t="s">
        <v>41</v>
      </c>
      <c r="I96" s="10" t="b">
        <v>0</v>
      </c>
    </row>
    <row r="97" spans="3:9" x14ac:dyDescent="0.3">
      <c r="C97" s="10">
        <v>62</v>
      </c>
      <c r="D97" s="10">
        <v>1705070</v>
      </c>
      <c r="E97" s="10" t="s">
        <v>20</v>
      </c>
      <c r="F97" s="10">
        <v>0.40079999999999999</v>
      </c>
      <c r="G97" s="10">
        <v>0.59919999999999995</v>
      </c>
      <c r="H97" s="10" t="s">
        <v>31</v>
      </c>
      <c r="I97" s="10" t="b">
        <v>0</v>
      </c>
    </row>
    <row r="98" spans="3:9" x14ac:dyDescent="0.3">
      <c r="C98" s="10">
        <v>50</v>
      </c>
      <c r="D98" s="10">
        <v>1705058</v>
      </c>
      <c r="E98" s="10" t="s">
        <v>20</v>
      </c>
      <c r="F98" s="10">
        <v>0.39979999999999999</v>
      </c>
      <c r="G98" s="10">
        <v>0.60019999999999996</v>
      </c>
      <c r="H98" s="10" t="s">
        <v>52</v>
      </c>
      <c r="I98" s="10" t="b">
        <v>0</v>
      </c>
    </row>
    <row r="99" spans="3:9" x14ac:dyDescent="0.3">
      <c r="C99" s="10">
        <v>126</v>
      </c>
      <c r="D99" s="10">
        <v>1706153</v>
      </c>
      <c r="E99" s="10" t="s">
        <v>20</v>
      </c>
      <c r="F99" s="10">
        <v>0.39510000000000001</v>
      </c>
      <c r="G99" s="10">
        <v>0.60489999999999999</v>
      </c>
      <c r="H99" s="10" t="s">
        <v>31</v>
      </c>
      <c r="I99" s="10" t="b">
        <v>0</v>
      </c>
    </row>
    <row r="100" spans="3:9" x14ac:dyDescent="0.3">
      <c r="C100" s="10">
        <v>91</v>
      </c>
      <c r="D100" s="10">
        <v>1705107</v>
      </c>
      <c r="E100" s="10" t="s">
        <v>20</v>
      </c>
      <c r="F100" s="10">
        <v>0.39179999999999998</v>
      </c>
      <c r="G100" s="10">
        <v>0.60819999999999996</v>
      </c>
      <c r="H100" s="10" t="s">
        <v>26</v>
      </c>
      <c r="I100" s="10" t="b">
        <v>0</v>
      </c>
    </row>
    <row r="101" spans="3:9" x14ac:dyDescent="0.3">
      <c r="C101" s="10">
        <v>134</v>
      </c>
      <c r="D101" s="10">
        <v>1705157</v>
      </c>
      <c r="E101" s="10" t="s">
        <v>20</v>
      </c>
      <c r="F101" s="10">
        <v>0.3891</v>
      </c>
      <c r="G101" s="10">
        <v>0.6109</v>
      </c>
      <c r="H101" s="10" t="s">
        <v>31</v>
      </c>
      <c r="I101" s="10" t="b">
        <v>0</v>
      </c>
    </row>
    <row r="102" spans="3:9" x14ac:dyDescent="0.3">
      <c r="C102" s="10">
        <v>245</v>
      </c>
      <c r="D102" s="10">
        <v>1706310</v>
      </c>
      <c r="E102" s="10" t="s">
        <v>20</v>
      </c>
      <c r="F102" s="10">
        <v>0.38900000000000001</v>
      </c>
      <c r="G102" s="10">
        <v>0.61099999999999999</v>
      </c>
      <c r="H102" s="10" t="s">
        <v>38</v>
      </c>
      <c r="I102" s="10" t="b">
        <v>0</v>
      </c>
    </row>
    <row r="103" spans="3:9" x14ac:dyDescent="0.3">
      <c r="C103" s="10">
        <v>44</v>
      </c>
      <c r="D103" s="10">
        <v>1706057</v>
      </c>
      <c r="E103" s="10" t="s">
        <v>20</v>
      </c>
      <c r="F103" s="10">
        <v>0.38879999999999998</v>
      </c>
      <c r="G103" s="10">
        <v>0.61119999999999997</v>
      </c>
      <c r="H103" s="10" t="s">
        <v>41</v>
      </c>
      <c r="I103" s="10" t="b">
        <v>0</v>
      </c>
    </row>
    <row r="104" spans="3:9" x14ac:dyDescent="0.3">
      <c r="C104" s="10">
        <v>220</v>
      </c>
      <c r="D104" s="10">
        <v>1705261</v>
      </c>
      <c r="E104" s="10" t="s">
        <v>20</v>
      </c>
      <c r="F104" s="10">
        <v>0.38800000000000001</v>
      </c>
      <c r="G104" s="10">
        <v>0.61199999999999999</v>
      </c>
      <c r="H104" s="10" t="s">
        <v>38</v>
      </c>
      <c r="I104" s="10" t="b">
        <v>0</v>
      </c>
    </row>
    <row r="105" spans="3:9" x14ac:dyDescent="0.3">
      <c r="C105" s="10">
        <v>223</v>
      </c>
      <c r="D105" s="10">
        <v>1706277</v>
      </c>
      <c r="E105" s="10" t="s">
        <v>20</v>
      </c>
      <c r="F105" s="10">
        <v>0.38750000000000001</v>
      </c>
      <c r="G105" s="10">
        <v>0.61250000000000004</v>
      </c>
      <c r="H105" s="10" t="s">
        <v>31</v>
      </c>
      <c r="I105" s="10" t="b">
        <v>0</v>
      </c>
    </row>
    <row r="106" spans="3:9" x14ac:dyDescent="0.3">
      <c r="C106" s="10">
        <v>64</v>
      </c>
      <c r="D106" s="10">
        <v>1705072</v>
      </c>
      <c r="E106" s="10" t="s">
        <v>20</v>
      </c>
      <c r="F106" s="10">
        <v>0.37880000000000003</v>
      </c>
      <c r="G106" s="10">
        <v>0.62119999999999997</v>
      </c>
      <c r="H106" s="10" t="s">
        <v>31</v>
      </c>
      <c r="I106" s="10" t="b">
        <v>0</v>
      </c>
    </row>
    <row r="107" spans="3:9" x14ac:dyDescent="0.3">
      <c r="C107" s="10">
        <v>130</v>
      </c>
      <c r="D107" s="10">
        <v>1705153</v>
      </c>
      <c r="E107" s="10" t="s">
        <v>20</v>
      </c>
      <c r="F107" s="10">
        <v>0.37740000000000001</v>
      </c>
      <c r="G107" s="10">
        <v>0.62260000000000004</v>
      </c>
      <c r="H107" s="10" t="s">
        <v>41</v>
      </c>
      <c r="I107" s="10" t="b">
        <v>0</v>
      </c>
    </row>
    <row r="108" spans="3:9" x14ac:dyDescent="0.3">
      <c r="C108" s="10">
        <v>289</v>
      </c>
      <c r="D108" s="10">
        <v>1705388</v>
      </c>
      <c r="E108" s="10" t="s">
        <v>20</v>
      </c>
      <c r="F108" s="10">
        <v>0.37730000000000002</v>
      </c>
      <c r="G108" s="10">
        <v>0.62270000000000003</v>
      </c>
      <c r="H108" s="10" t="s">
        <v>31</v>
      </c>
      <c r="I108" s="10" t="b">
        <v>0</v>
      </c>
    </row>
    <row r="109" spans="3:9" x14ac:dyDescent="0.3">
      <c r="C109" s="10">
        <v>137</v>
      </c>
      <c r="D109" s="10">
        <v>1705160</v>
      </c>
      <c r="E109" s="10" t="s">
        <v>20</v>
      </c>
      <c r="F109" s="10">
        <v>0.3644</v>
      </c>
      <c r="G109" s="10">
        <v>0.63560000000000005</v>
      </c>
      <c r="H109" s="10" t="s">
        <v>31</v>
      </c>
      <c r="I109" s="10" t="b">
        <v>0</v>
      </c>
    </row>
    <row r="110" spans="3:9" x14ac:dyDescent="0.3">
      <c r="C110" s="10">
        <v>30</v>
      </c>
      <c r="D110" s="10">
        <v>1706038</v>
      </c>
      <c r="E110" s="10" t="s">
        <v>20</v>
      </c>
      <c r="F110" s="10">
        <v>0.36220000000000002</v>
      </c>
      <c r="G110" s="10">
        <v>0.63780000000000003</v>
      </c>
      <c r="H110" s="10" t="s">
        <v>31</v>
      </c>
      <c r="I110" s="10" t="b">
        <v>0</v>
      </c>
    </row>
    <row r="111" spans="3:9" x14ac:dyDescent="0.3">
      <c r="C111" s="10">
        <v>228</v>
      </c>
      <c r="D111" s="10">
        <v>1706284</v>
      </c>
      <c r="E111" s="10" t="s">
        <v>20</v>
      </c>
      <c r="F111" s="10">
        <v>0.36099999999999999</v>
      </c>
      <c r="G111" s="10">
        <v>0.63900000000000001</v>
      </c>
      <c r="H111" s="10" t="s">
        <v>31</v>
      </c>
      <c r="I111" s="10" t="b">
        <v>0</v>
      </c>
    </row>
    <row r="112" spans="3:9" x14ac:dyDescent="0.3">
      <c r="C112" s="10">
        <v>159</v>
      </c>
      <c r="D112" s="10">
        <v>1705184</v>
      </c>
      <c r="E112" s="10" t="s">
        <v>20</v>
      </c>
      <c r="F112" s="10">
        <v>0.35709999999999997</v>
      </c>
      <c r="G112" s="10">
        <v>0.64290000000000003</v>
      </c>
      <c r="H112" s="10" t="s">
        <v>31</v>
      </c>
      <c r="I112" s="10" t="b">
        <v>0</v>
      </c>
    </row>
    <row r="113" spans="3:9" x14ac:dyDescent="0.3">
      <c r="C113" s="10">
        <v>205</v>
      </c>
      <c r="D113" s="10">
        <v>1706250</v>
      </c>
      <c r="E113" s="10" t="s">
        <v>20</v>
      </c>
      <c r="F113" s="10">
        <v>0.35699999999999998</v>
      </c>
      <c r="G113" s="10">
        <v>0.64300000000000002</v>
      </c>
      <c r="H113" s="10" t="s">
        <v>41</v>
      </c>
      <c r="I113" s="10" t="b">
        <v>0</v>
      </c>
    </row>
    <row r="114" spans="3:9" x14ac:dyDescent="0.3">
      <c r="C114" s="10">
        <v>176</v>
      </c>
      <c r="D114" s="10">
        <v>1706210</v>
      </c>
      <c r="E114" s="10" t="s">
        <v>20</v>
      </c>
      <c r="F114" s="10">
        <v>0.35570000000000002</v>
      </c>
      <c r="G114" s="10">
        <v>0.64429999999999998</v>
      </c>
      <c r="H114" s="10" t="s">
        <v>31</v>
      </c>
      <c r="I114" s="10" t="b">
        <v>0</v>
      </c>
    </row>
    <row r="115" spans="3:9" x14ac:dyDescent="0.3">
      <c r="C115" s="10">
        <v>173</v>
      </c>
      <c r="D115" s="10">
        <v>1706207</v>
      </c>
      <c r="E115" s="10" t="s">
        <v>20</v>
      </c>
      <c r="F115" s="10">
        <v>0.35420000000000001</v>
      </c>
      <c r="G115" s="10">
        <v>0.64580000000000004</v>
      </c>
      <c r="H115" s="10" t="s">
        <v>31</v>
      </c>
      <c r="I115" s="10" t="b">
        <v>0</v>
      </c>
    </row>
    <row r="116" spans="3:9" x14ac:dyDescent="0.3">
      <c r="C116" s="10">
        <v>229</v>
      </c>
      <c r="D116" s="10">
        <v>1705274</v>
      </c>
      <c r="E116" s="10" t="s">
        <v>20</v>
      </c>
      <c r="F116" s="10">
        <v>0.35270000000000001</v>
      </c>
      <c r="G116" s="10">
        <v>0.64729999999999999</v>
      </c>
      <c r="H116" s="10" t="s">
        <v>26</v>
      </c>
      <c r="I116" s="10" t="b">
        <v>0</v>
      </c>
    </row>
    <row r="117" spans="3:9" x14ac:dyDescent="0.3">
      <c r="C117" s="10">
        <v>43</v>
      </c>
      <c r="D117" s="10">
        <v>1706056</v>
      </c>
      <c r="E117" s="10" t="s">
        <v>20</v>
      </c>
      <c r="F117" s="10">
        <v>0.35139999999999999</v>
      </c>
      <c r="G117" s="10">
        <v>0.64859999999999995</v>
      </c>
      <c r="H117" s="10" t="s">
        <v>31</v>
      </c>
      <c r="I117" s="10" t="b">
        <v>0</v>
      </c>
    </row>
    <row r="118" spans="3:9" x14ac:dyDescent="0.3">
      <c r="C118" s="10">
        <v>14</v>
      </c>
      <c r="D118" s="10">
        <v>1705015</v>
      </c>
      <c r="E118" s="10" t="s">
        <v>20</v>
      </c>
      <c r="F118" s="10">
        <v>0.34570000000000001</v>
      </c>
      <c r="G118" s="10">
        <v>0.65429999999999999</v>
      </c>
      <c r="H118" s="10" t="s">
        <v>31</v>
      </c>
      <c r="I118" s="10" t="b">
        <v>0</v>
      </c>
    </row>
    <row r="119" spans="3:9" x14ac:dyDescent="0.3">
      <c r="C119" s="10">
        <v>207</v>
      </c>
      <c r="D119" s="10">
        <v>1706252</v>
      </c>
      <c r="E119" s="10" t="s">
        <v>20</v>
      </c>
      <c r="F119" s="10">
        <v>0.3453</v>
      </c>
      <c r="G119" s="10">
        <v>0.65469999999999995</v>
      </c>
      <c r="H119" s="10" t="s">
        <v>31</v>
      </c>
      <c r="I119" s="10" t="b">
        <v>0</v>
      </c>
    </row>
    <row r="120" spans="3:9" x14ac:dyDescent="0.3">
      <c r="C120" s="10">
        <v>96</v>
      </c>
      <c r="D120" s="10">
        <v>1706118</v>
      </c>
      <c r="E120" s="10" t="s">
        <v>20</v>
      </c>
      <c r="F120" s="10">
        <v>0.3367</v>
      </c>
      <c r="G120" s="10">
        <v>0.6633</v>
      </c>
      <c r="H120" s="10" t="s">
        <v>47</v>
      </c>
      <c r="I120" s="10" t="b">
        <v>0</v>
      </c>
    </row>
    <row r="121" spans="3:9" x14ac:dyDescent="0.3">
      <c r="C121" s="10">
        <v>195</v>
      </c>
      <c r="D121" s="10">
        <v>1705232</v>
      </c>
      <c r="E121" s="10" t="s">
        <v>20</v>
      </c>
      <c r="F121" s="10">
        <v>0.33139999999999997</v>
      </c>
      <c r="G121" s="10">
        <v>0.66859999999999997</v>
      </c>
      <c r="H121" s="10" t="s">
        <v>31</v>
      </c>
      <c r="I121" s="10" t="b">
        <v>0</v>
      </c>
    </row>
    <row r="122" spans="3:9" x14ac:dyDescent="0.3">
      <c r="C122" s="10">
        <v>91</v>
      </c>
      <c r="D122" s="10">
        <v>1706111</v>
      </c>
      <c r="E122" s="10" t="s">
        <v>20</v>
      </c>
      <c r="F122" s="10">
        <v>0.32719999999999999</v>
      </c>
      <c r="G122" s="10">
        <v>0.67279999999999995</v>
      </c>
      <c r="H122" s="10" t="s">
        <v>31</v>
      </c>
      <c r="I122" s="10" t="b">
        <v>0</v>
      </c>
    </row>
    <row r="123" spans="3:9" x14ac:dyDescent="0.3">
      <c r="C123" s="10">
        <v>184</v>
      </c>
      <c r="D123" s="10">
        <v>1706218</v>
      </c>
      <c r="E123" s="10" t="s">
        <v>20</v>
      </c>
      <c r="F123" s="10">
        <v>0.32429999999999998</v>
      </c>
      <c r="G123" s="10">
        <v>0.67569999999999997</v>
      </c>
      <c r="H123" s="10" t="s">
        <v>31</v>
      </c>
      <c r="I123" s="10" t="b">
        <v>0</v>
      </c>
    </row>
    <row r="124" spans="3:9" x14ac:dyDescent="0.3">
      <c r="C124" s="10">
        <v>202</v>
      </c>
      <c r="D124" s="10">
        <v>1705239</v>
      </c>
      <c r="E124" s="10" t="s">
        <v>20</v>
      </c>
      <c r="F124" s="10">
        <v>0.32340000000000002</v>
      </c>
      <c r="G124" s="10">
        <v>0.67659999999999998</v>
      </c>
      <c r="H124" s="10" t="s">
        <v>31</v>
      </c>
      <c r="I124" s="10" t="b">
        <v>0</v>
      </c>
    </row>
    <row r="125" spans="3:9" x14ac:dyDescent="0.3">
      <c r="C125" s="10">
        <v>199</v>
      </c>
      <c r="D125" s="10">
        <v>1706235</v>
      </c>
      <c r="E125" s="10" t="s">
        <v>20</v>
      </c>
      <c r="F125" s="10">
        <v>0.31879999999999997</v>
      </c>
      <c r="G125" s="10">
        <v>0.68120000000000003</v>
      </c>
      <c r="H125" s="10" t="s">
        <v>31</v>
      </c>
      <c r="I125" s="10" t="b">
        <v>0</v>
      </c>
    </row>
    <row r="126" spans="3:9" x14ac:dyDescent="0.3">
      <c r="C126" s="10">
        <v>167</v>
      </c>
      <c r="D126" s="10">
        <v>1706201</v>
      </c>
      <c r="E126" s="10" t="s">
        <v>20</v>
      </c>
      <c r="F126" s="10">
        <v>0.31730000000000003</v>
      </c>
      <c r="G126" s="10">
        <v>0.68269999999999997</v>
      </c>
      <c r="H126" s="10" t="s">
        <v>31</v>
      </c>
      <c r="I126" s="10" t="b">
        <v>0</v>
      </c>
    </row>
    <row r="127" spans="3:9" x14ac:dyDescent="0.3">
      <c r="C127" s="10">
        <v>178</v>
      </c>
      <c r="D127" s="10">
        <v>1705213</v>
      </c>
      <c r="E127" s="10" t="s">
        <v>20</v>
      </c>
      <c r="F127" s="10">
        <v>0.317</v>
      </c>
      <c r="G127" s="10">
        <v>0.68300000000000005</v>
      </c>
      <c r="H127" s="10" t="s">
        <v>52</v>
      </c>
      <c r="I127" s="10" t="b">
        <v>0</v>
      </c>
    </row>
    <row r="128" spans="3:9" x14ac:dyDescent="0.3">
      <c r="C128" s="10">
        <v>161</v>
      </c>
      <c r="D128" s="10">
        <v>1705187</v>
      </c>
      <c r="E128" s="10" t="s">
        <v>20</v>
      </c>
      <c r="F128" s="10">
        <v>0.31690000000000002</v>
      </c>
      <c r="G128" s="10">
        <v>0.68310000000000004</v>
      </c>
      <c r="H128" s="10" t="s">
        <v>35</v>
      </c>
      <c r="I128" s="10" t="b">
        <v>0</v>
      </c>
    </row>
    <row r="129" spans="3:9" x14ac:dyDescent="0.3">
      <c r="C129" s="10">
        <v>259</v>
      </c>
      <c r="D129" s="10">
        <v>1706332</v>
      </c>
      <c r="E129" s="10" t="s">
        <v>20</v>
      </c>
      <c r="F129" s="10">
        <v>0.31630000000000003</v>
      </c>
      <c r="G129" s="10">
        <v>0.68369999999999997</v>
      </c>
      <c r="H129" s="10" t="s">
        <v>31</v>
      </c>
      <c r="I129" s="10" t="b">
        <v>0</v>
      </c>
    </row>
    <row r="130" spans="3:9" x14ac:dyDescent="0.3">
      <c r="C130" s="10">
        <v>263</v>
      </c>
      <c r="D130" s="10">
        <v>1705329</v>
      </c>
      <c r="E130" s="10" t="s">
        <v>20</v>
      </c>
      <c r="F130" s="10">
        <v>0.30869999999999997</v>
      </c>
      <c r="G130" s="10">
        <v>0.69130000000000003</v>
      </c>
      <c r="H130" s="10" t="s">
        <v>31</v>
      </c>
      <c r="I130" s="10" t="b">
        <v>0</v>
      </c>
    </row>
    <row r="131" spans="3:9" x14ac:dyDescent="0.3">
      <c r="C131" s="10">
        <v>294</v>
      </c>
      <c r="D131" s="10">
        <v>1705394</v>
      </c>
      <c r="E131" s="10" t="s">
        <v>20</v>
      </c>
      <c r="F131" s="10">
        <v>0.30570000000000003</v>
      </c>
      <c r="G131" s="10">
        <v>0.69430000000000003</v>
      </c>
      <c r="H131" s="10" t="s">
        <v>33</v>
      </c>
      <c r="I131" s="10" t="b">
        <v>0</v>
      </c>
    </row>
    <row r="132" spans="3:9" x14ac:dyDescent="0.3">
      <c r="C132" s="10">
        <v>202</v>
      </c>
      <c r="D132" s="10">
        <v>1706242</v>
      </c>
      <c r="E132" s="10" t="s">
        <v>20</v>
      </c>
      <c r="F132" s="10">
        <v>0.30149999999999999</v>
      </c>
      <c r="G132" s="10">
        <v>0.69850000000000001</v>
      </c>
      <c r="H132" s="10" t="s">
        <v>31</v>
      </c>
      <c r="I132" s="10" t="b">
        <v>0</v>
      </c>
    </row>
    <row r="133" spans="3:9" x14ac:dyDescent="0.3">
      <c r="C133" s="10">
        <v>208</v>
      </c>
      <c r="D133" s="10">
        <v>1706253</v>
      </c>
      <c r="E133" s="10" t="s">
        <v>20</v>
      </c>
      <c r="F133" s="10">
        <v>0.3014</v>
      </c>
      <c r="G133" s="10">
        <v>0.6986</v>
      </c>
      <c r="H133" s="10" t="s">
        <v>52</v>
      </c>
      <c r="I133" s="10" t="b">
        <v>0</v>
      </c>
    </row>
    <row r="134" spans="3:9" x14ac:dyDescent="0.3">
      <c r="C134" s="10">
        <v>98</v>
      </c>
      <c r="D134" s="10">
        <v>1705115</v>
      </c>
      <c r="E134" s="10" t="s">
        <v>20</v>
      </c>
      <c r="F134" s="10">
        <v>0.2979</v>
      </c>
      <c r="G134" s="10">
        <v>0.70209999999999995</v>
      </c>
      <c r="H134" s="10" t="s">
        <v>31</v>
      </c>
      <c r="I134" s="10" t="b">
        <v>0</v>
      </c>
    </row>
    <row r="135" spans="3:9" x14ac:dyDescent="0.3">
      <c r="C135" s="10">
        <v>193</v>
      </c>
      <c r="D135" s="10">
        <v>1706229</v>
      </c>
      <c r="E135" s="10" t="s">
        <v>20</v>
      </c>
      <c r="F135" s="10">
        <v>0.29680000000000001</v>
      </c>
      <c r="G135" s="10">
        <v>0.70320000000000005</v>
      </c>
      <c r="H135" s="10" t="s">
        <v>31</v>
      </c>
      <c r="I135" s="10" t="b">
        <v>0</v>
      </c>
    </row>
    <row r="136" spans="3:9" x14ac:dyDescent="0.3">
      <c r="C136" s="10">
        <v>116</v>
      </c>
      <c r="D136" s="10">
        <v>1705136</v>
      </c>
      <c r="E136" s="10" t="s">
        <v>20</v>
      </c>
      <c r="F136" s="10">
        <v>0.2918</v>
      </c>
      <c r="G136" s="10">
        <v>0.70820000000000005</v>
      </c>
      <c r="H136" s="10" t="s">
        <v>31</v>
      </c>
      <c r="I136" s="10" t="b">
        <v>0</v>
      </c>
    </row>
    <row r="137" spans="3:9" x14ac:dyDescent="0.3">
      <c r="C137" s="10">
        <v>217</v>
      </c>
      <c r="D137" s="10">
        <v>1706270</v>
      </c>
      <c r="E137" s="10" t="s">
        <v>20</v>
      </c>
      <c r="F137" s="10">
        <v>0.2913</v>
      </c>
      <c r="G137" s="10">
        <v>0.7087</v>
      </c>
      <c r="H137" s="10" t="s">
        <v>47</v>
      </c>
      <c r="I137" s="10" t="b">
        <v>0</v>
      </c>
    </row>
    <row r="138" spans="3:9" x14ac:dyDescent="0.3">
      <c r="C138" s="10">
        <v>201</v>
      </c>
      <c r="D138" s="10">
        <v>1706240</v>
      </c>
      <c r="E138" s="10" t="s">
        <v>20</v>
      </c>
      <c r="F138" s="10">
        <v>0.28889999999999999</v>
      </c>
      <c r="G138" s="10">
        <v>0.71109999999999995</v>
      </c>
      <c r="H138" s="10" t="s">
        <v>47</v>
      </c>
      <c r="I138" s="10" t="b">
        <v>0</v>
      </c>
    </row>
    <row r="139" spans="3:9" x14ac:dyDescent="0.3">
      <c r="C139" s="10">
        <v>119</v>
      </c>
      <c r="D139" s="10">
        <v>1705139</v>
      </c>
      <c r="E139" s="10" t="s">
        <v>20</v>
      </c>
      <c r="F139" s="10">
        <v>0.28870000000000001</v>
      </c>
      <c r="G139" s="10">
        <v>0.71130000000000004</v>
      </c>
      <c r="H139" s="10" t="s">
        <v>31</v>
      </c>
      <c r="I139" s="10" t="b">
        <v>0</v>
      </c>
    </row>
    <row r="140" spans="3:9" x14ac:dyDescent="0.3">
      <c r="C140" s="10">
        <v>221</v>
      </c>
      <c r="D140" s="10">
        <v>1706275</v>
      </c>
      <c r="E140" s="10" t="s">
        <v>20</v>
      </c>
      <c r="F140" s="10">
        <v>0.28870000000000001</v>
      </c>
      <c r="G140" s="10">
        <v>0.71130000000000004</v>
      </c>
      <c r="H140" s="10" t="s">
        <v>31</v>
      </c>
      <c r="I140" s="10" t="b">
        <v>0</v>
      </c>
    </row>
    <row r="141" spans="3:9" x14ac:dyDescent="0.3">
      <c r="C141" s="10">
        <v>4</v>
      </c>
      <c r="D141" s="10">
        <v>1705004</v>
      </c>
      <c r="E141" s="10" t="s">
        <v>20</v>
      </c>
      <c r="F141" s="10">
        <v>0.28749999999999998</v>
      </c>
      <c r="G141" s="10">
        <v>0.71250000000000002</v>
      </c>
      <c r="H141" s="10" t="s">
        <v>31</v>
      </c>
      <c r="I141" s="10" t="b">
        <v>0</v>
      </c>
    </row>
    <row r="142" spans="3:9" x14ac:dyDescent="0.3">
      <c r="C142" s="10">
        <v>155</v>
      </c>
      <c r="D142" s="10">
        <v>1705180</v>
      </c>
      <c r="E142" s="10" t="s">
        <v>20</v>
      </c>
      <c r="F142" s="10">
        <v>0.28620000000000001</v>
      </c>
      <c r="G142" s="10">
        <v>0.71379999999999999</v>
      </c>
      <c r="H142" s="10" t="s">
        <v>31</v>
      </c>
      <c r="I142" s="10" t="b">
        <v>0</v>
      </c>
    </row>
    <row r="143" spans="3:9" x14ac:dyDescent="0.3">
      <c r="C143" s="10">
        <v>116</v>
      </c>
      <c r="D143" s="10">
        <v>1706142</v>
      </c>
      <c r="E143" s="10" t="s">
        <v>20</v>
      </c>
      <c r="F143" s="10">
        <v>0.28489999999999999</v>
      </c>
      <c r="G143" s="10">
        <v>0.71509999999999996</v>
      </c>
      <c r="H143" s="10" t="s">
        <v>31</v>
      </c>
      <c r="I143" s="10" t="b">
        <v>0</v>
      </c>
    </row>
    <row r="144" spans="3:9" x14ac:dyDescent="0.3">
      <c r="C144" s="10">
        <v>53</v>
      </c>
      <c r="D144" s="10">
        <v>1706066</v>
      </c>
      <c r="E144" s="10" t="s">
        <v>20</v>
      </c>
      <c r="F144" s="10">
        <v>0.28370000000000001</v>
      </c>
      <c r="G144" s="10">
        <v>0.71630000000000005</v>
      </c>
      <c r="H144" s="10" t="s">
        <v>31</v>
      </c>
      <c r="I144" s="10" t="b">
        <v>0</v>
      </c>
    </row>
    <row r="145" spans="3:9" x14ac:dyDescent="0.3">
      <c r="C145" s="10">
        <v>171</v>
      </c>
      <c r="D145" s="10">
        <v>1706205</v>
      </c>
      <c r="E145" s="10" t="s">
        <v>20</v>
      </c>
      <c r="F145" s="10">
        <v>0.28139999999999998</v>
      </c>
      <c r="G145" s="10">
        <v>0.71860000000000002</v>
      </c>
      <c r="H145" s="10" t="s">
        <v>31</v>
      </c>
      <c r="I145" s="10" t="b">
        <v>0</v>
      </c>
    </row>
    <row r="146" spans="3:9" x14ac:dyDescent="0.3">
      <c r="C146" s="10">
        <v>261</v>
      </c>
      <c r="D146" s="10">
        <v>1705326</v>
      </c>
      <c r="E146" s="10" t="s">
        <v>20</v>
      </c>
      <c r="F146" s="10">
        <v>0.28039999999999998</v>
      </c>
      <c r="G146" s="10">
        <v>0.71960000000000002</v>
      </c>
      <c r="H146" s="10" t="s">
        <v>31</v>
      </c>
      <c r="I146" s="10" t="b">
        <v>0</v>
      </c>
    </row>
    <row r="147" spans="3:9" x14ac:dyDescent="0.3">
      <c r="C147" s="10">
        <v>219</v>
      </c>
      <c r="D147" s="10">
        <v>1706273</v>
      </c>
      <c r="E147" s="10" t="s">
        <v>20</v>
      </c>
      <c r="F147" s="10">
        <v>0.2777</v>
      </c>
      <c r="G147" s="10">
        <v>0.72230000000000005</v>
      </c>
      <c r="H147" s="10" t="s">
        <v>31</v>
      </c>
      <c r="I147" s="10" t="b">
        <v>0</v>
      </c>
    </row>
    <row r="148" spans="3:9" x14ac:dyDescent="0.3">
      <c r="C148" s="10">
        <v>151</v>
      </c>
      <c r="D148" s="10">
        <v>1706184</v>
      </c>
      <c r="E148" s="10" t="s">
        <v>20</v>
      </c>
      <c r="F148" s="10">
        <v>0.27750000000000002</v>
      </c>
      <c r="G148" s="10">
        <v>0.72250000000000003</v>
      </c>
      <c r="H148" s="10" t="s">
        <v>31</v>
      </c>
      <c r="I148" s="10" t="b">
        <v>0</v>
      </c>
    </row>
    <row r="149" spans="3:9" x14ac:dyDescent="0.3">
      <c r="C149" s="10">
        <v>169</v>
      </c>
      <c r="D149" s="10">
        <v>1706203</v>
      </c>
      <c r="E149" s="10" t="s">
        <v>20</v>
      </c>
      <c r="F149" s="10">
        <v>0.2752</v>
      </c>
      <c r="G149" s="10">
        <v>0.7248</v>
      </c>
      <c r="H149" s="10" t="s">
        <v>31</v>
      </c>
      <c r="I149" s="10" t="b">
        <v>0</v>
      </c>
    </row>
    <row r="150" spans="3:9" x14ac:dyDescent="0.3">
      <c r="C150" s="10">
        <v>75</v>
      </c>
      <c r="D150" s="10">
        <v>1706095</v>
      </c>
      <c r="E150" s="10" t="s">
        <v>20</v>
      </c>
      <c r="F150" s="10">
        <v>0.27360000000000001</v>
      </c>
      <c r="G150" s="10">
        <v>0.72640000000000005</v>
      </c>
      <c r="H150" s="10" t="s">
        <v>31</v>
      </c>
      <c r="I150" s="10" t="b">
        <v>0</v>
      </c>
    </row>
    <row r="151" spans="3:9" x14ac:dyDescent="0.3">
      <c r="C151" s="10">
        <v>222</v>
      </c>
      <c r="D151" s="10">
        <v>1706276</v>
      </c>
      <c r="E151" s="10" t="s">
        <v>20</v>
      </c>
      <c r="F151" s="10">
        <v>0.27360000000000001</v>
      </c>
      <c r="G151" s="10">
        <v>0.72640000000000005</v>
      </c>
      <c r="H151" s="10" t="s">
        <v>31</v>
      </c>
      <c r="I151" s="10" t="b">
        <v>0</v>
      </c>
    </row>
    <row r="152" spans="3:9" x14ac:dyDescent="0.3">
      <c r="C152" s="10">
        <v>226</v>
      </c>
      <c r="D152" s="10">
        <v>1706280</v>
      </c>
      <c r="E152" s="10" t="s">
        <v>20</v>
      </c>
      <c r="F152" s="10">
        <v>0.27360000000000001</v>
      </c>
      <c r="G152" s="10">
        <v>0.72640000000000005</v>
      </c>
      <c r="H152" s="10" t="s">
        <v>31</v>
      </c>
      <c r="I152" s="10" t="b">
        <v>0</v>
      </c>
    </row>
    <row r="153" spans="3:9" x14ac:dyDescent="0.3">
      <c r="C153" s="10">
        <v>180</v>
      </c>
      <c r="D153" s="10">
        <v>1706215</v>
      </c>
      <c r="E153" s="10" t="s">
        <v>20</v>
      </c>
      <c r="F153" s="10">
        <v>0.2727</v>
      </c>
      <c r="G153" s="10">
        <v>0.72729999999999995</v>
      </c>
      <c r="H153" s="10" t="s">
        <v>31</v>
      </c>
      <c r="I153" s="10" t="b">
        <v>0</v>
      </c>
    </row>
    <row r="154" spans="3:9" x14ac:dyDescent="0.3">
      <c r="C154" s="10">
        <v>141</v>
      </c>
      <c r="D154" s="10">
        <v>1705164</v>
      </c>
      <c r="E154" s="10" t="s">
        <v>20</v>
      </c>
      <c r="F154" s="10">
        <v>0.26960000000000001</v>
      </c>
      <c r="G154" s="10">
        <v>0.73040000000000005</v>
      </c>
      <c r="H154" s="10" t="s">
        <v>31</v>
      </c>
      <c r="I154" s="10" t="b">
        <v>0</v>
      </c>
    </row>
    <row r="155" spans="3:9" x14ac:dyDescent="0.3">
      <c r="C155" s="10">
        <v>160</v>
      </c>
      <c r="D155" s="10">
        <v>1706193</v>
      </c>
      <c r="E155" s="10" t="s">
        <v>20</v>
      </c>
      <c r="F155" s="10">
        <v>0.26500000000000001</v>
      </c>
      <c r="G155" s="10">
        <v>0.73499999999999999</v>
      </c>
      <c r="H155" s="10" t="s">
        <v>31</v>
      </c>
      <c r="I155" s="10" t="b">
        <v>0</v>
      </c>
    </row>
    <row r="156" spans="3:9" x14ac:dyDescent="0.3">
      <c r="C156" s="10">
        <v>142</v>
      </c>
      <c r="D156" s="10">
        <v>1705165</v>
      </c>
      <c r="E156" s="10" t="s">
        <v>20</v>
      </c>
      <c r="F156" s="10">
        <v>0.26279999999999998</v>
      </c>
      <c r="G156" s="10">
        <v>0.73719999999999997</v>
      </c>
      <c r="H156" s="10" t="s">
        <v>31</v>
      </c>
      <c r="I156" s="10" t="b">
        <v>0</v>
      </c>
    </row>
    <row r="157" spans="3:9" x14ac:dyDescent="0.3">
      <c r="C157" s="10">
        <v>214</v>
      </c>
      <c r="D157" s="10">
        <v>1706264</v>
      </c>
      <c r="E157" s="10" t="s">
        <v>20</v>
      </c>
      <c r="F157" s="10">
        <v>0.26179999999999998</v>
      </c>
      <c r="G157" s="10">
        <v>0.73819999999999997</v>
      </c>
      <c r="H157" s="10" t="s">
        <v>46</v>
      </c>
      <c r="I157" s="10" t="b">
        <v>0</v>
      </c>
    </row>
    <row r="158" spans="3:9" x14ac:dyDescent="0.3">
      <c r="C158" s="10">
        <v>215</v>
      </c>
      <c r="D158" s="10">
        <v>1706265</v>
      </c>
      <c r="E158" s="10" t="s">
        <v>20</v>
      </c>
      <c r="F158" s="10">
        <v>0.26100000000000001</v>
      </c>
      <c r="G158" s="10">
        <v>0.73899999999999999</v>
      </c>
      <c r="H158" s="10" t="s">
        <v>46</v>
      </c>
      <c r="I158" s="10" t="b">
        <v>0</v>
      </c>
    </row>
    <row r="159" spans="3:9" x14ac:dyDescent="0.3">
      <c r="C159" s="10">
        <v>178</v>
      </c>
      <c r="D159" s="10">
        <v>1706213</v>
      </c>
      <c r="E159" s="10" t="s">
        <v>20</v>
      </c>
      <c r="F159" s="10">
        <v>0.26090000000000002</v>
      </c>
      <c r="G159" s="10">
        <v>0.73909999999999998</v>
      </c>
      <c r="H159" s="10" t="s">
        <v>31</v>
      </c>
      <c r="I159" s="10" t="b">
        <v>0</v>
      </c>
    </row>
    <row r="160" spans="3:9" x14ac:dyDescent="0.3">
      <c r="C160" s="10">
        <v>43</v>
      </c>
      <c r="D160" s="10">
        <v>1705047</v>
      </c>
      <c r="E160" s="10" t="s">
        <v>20</v>
      </c>
      <c r="F160" s="10">
        <v>0.25619999999999998</v>
      </c>
      <c r="G160" s="10">
        <v>0.74380000000000002</v>
      </c>
      <c r="H160" s="10" t="s">
        <v>31</v>
      </c>
      <c r="I160" s="10" t="b">
        <v>0</v>
      </c>
    </row>
    <row r="161" spans="3:9" x14ac:dyDescent="0.3">
      <c r="C161" s="10">
        <v>170</v>
      </c>
      <c r="D161" s="10">
        <v>1705204</v>
      </c>
      <c r="E161" s="10" t="s">
        <v>20</v>
      </c>
      <c r="F161" s="10">
        <v>0.2555</v>
      </c>
      <c r="G161" s="10">
        <v>0.74450000000000005</v>
      </c>
      <c r="H161" s="10" t="s">
        <v>31</v>
      </c>
      <c r="I161" s="10" t="b">
        <v>0</v>
      </c>
    </row>
    <row r="162" spans="3:9" x14ac:dyDescent="0.3">
      <c r="C162" s="10">
        <v>204</v>
      </c>
      <c r="D162" s="10">
        <v>1706248</v>
      </c>
      <c r="E162" s="10" t="s">
        <v>20</v>
      </c>
      <c r="F162" s="10">
        <v>0.255</v>
      </c>
      <c r="G162" s="10">
        <v>0.745</v>
      </c>
      <c r="H162" s="10" t="s">
        <v>52</v>
      </c>
      <c r="I162" s="10" t="b">
        <v>0</v>
      </c>
    </row>
    <row r="163" spans="3:9" x14ac:dyDescent="0.3">
      <c r="C163" s="10">
        <v>219</v>
      </c>
      <c r="D163" s="10">
        <v>1705260</v>
      </c>
      <c r="E163" s="10" t="s">
        <v>20</v>
      </c>
      <c r="F163" s="10">
        <v>0.25419999999999998</v>
      </c>
      <c r="G163" s="10">
        <v>0.74580000000000002</v>
      </c>
      <c r="H163" s="10" t="s">
        <v>31</v>
      </c>
      <c r="I163" s="10" t="b">
        <v>0</v>
      </c>
    </row>
    <row r="164" spans="3:9" x14ac:dyDescent="0.3">
      <c r="C164" s="10">
        <v>93</v>
      </c>
      <c r="D164" s="10">
        <v>1706113</v>
      </c>
      <c r="E164" s="10" t="s">
        <v>20</v>
      </c>
      <c r="F164" s="10">
        <v>0.24990000000000001</v>
      </c>
      <c r="G164" s="10">
        <v>0.75009999999999999</v>
      </c>
      <c r="H164" s="10" t="s">
        <v>31</v>
      </c>
      <c r="I164" s="10" t="b">
        <v>0</v>
      </c>
    </row>
    <row r="165" spans="3:9" x14ac:dyDescent="0.3">
      <c r="C165" s="10">
        <v>125</v>
      </c>
      <c r="D165" s="10">
        <v>1706152</v>
      </c>
      <c r="E165" s="10" t="s">
        <v>20</v>
      </c>
      <c r="F165" s="10">
        <v>0.2467</v>
      </c>
      <c r="G165" s="10">
        <v>0.75329999999999997</v>
      </c>
      <c r="H165" s="10" t="s">
        <v>31</v>
      </c>
      <c r="I165" s="10" t="b">
        <v>0</v>
      </c>
    </row>
    <row r="166" spans="3:9" x14ac:dyDescent="0.3">
      <c r="C166" s="10">
        <v>30</v>
      </c>
      <c r="D166" s="10">
        <v>1705034</v>
      </c>
      <c r="E166" s="10" t="s">
        <v>20</v>
      </c>
      <c r="F166" s="10">
        <v>0.24610000000000001</v>
      </c>
      <c r="G166" s="10">
        <v>0.75390000000000001</v>
      </c>
      <c r="H166" s="10" t="s">
        <v>31</v>
      </c>
      <c r="I166" s="10" t="b">
        <v>0</v>
      </c>
    </row>
    <row r="167" spans="3:9" x14ac:dyDescent="0.3">
      <c r="C167" s="10">
        <v>128</v>
      </c>
      <c r="D167" s="10">
        <v>1705151</v>
      </c>
      <c r="E167" s="10" t="s">
        <v>20</v>
      </c>
      <c r="F167" s="10">
        <v>0.2455</v>
      </c>
      <c r="G167" s="10">
        <v>0.75449999999999995</v>
      </c>
      <c r="H167" s="10" t="s">
        <v>31</v>
      </c>
      <c r="I167" s="10" t="b">
        <v>0</v>
      </c>
    </row>
    <row r="168" spans="3:9" x14ac:dyDescent="0.3">
      <c r="C168" s="10">
        <v>214</v>
      </c>
      <c r="D168" s="10">
        <v>1705255</v>
      </c>
      <c r="E168" s="10" t="s">
        <v>20</v>
      </c>
      <c r="F168" s="10">
        <v>0.2447</v>
      </c>
      <c r="G168" s="10">
        <v>0.75529999999999997</v>
      </c>
      <c r="H168" s="10" t="s">
        <v>31</v>
      </c>
      <c r="I168" s="10" t="b">
        <v>0</v>
      </c>
    </row>
    <row r="169" spans="3:9" x14ac:dyDescent="0.3">
      <c r="C169" s="10">
        <v>242</v>
      </c>
      <c r="D169" s="10">
        <v>1706306</v>
      </c>
      <c r="E169" s="10" t="s">
        <v>20</v>
      </c>
      <c r="F169" s="10">
        <v>0.2414</v>
      </c>
      <c r="G169" s="10">
        <v>0.75860000000000005</v>
      </c>
      <c r="H169" s="10" t="s">
        <v>31</v>
      </c>
      <c r="I169" s="10" t="b">
        <v>0</v>
      </c>
    </row>
    <row r="170" spans="3:9" x14ac:dyDescent="0.3">
      <c r="C170" s="10">
        <v>138</v>
      </c>
      <c r="D170" s="10">
        <v>1705161</v>
      </c>
      <c r="E170" s="10" t="s">
        <v>20</v>
      </c>
      <c r="F170" s="10">
        <v>0.23780000000000001</v>
      </c>
      <c r="G170" s="10">
        <v>0.76219999999999999</v>
      </c>
      <c r="H170" s="10" t="s">
        <v>31</v>
      </c>
      <c r="I170" s="10" t="b">
        <v>0</v>
      </c>
    </row>
    <row r="171" spans="3:9" x14ac:dyDescent="0.3">
      <c r="C171" s="10">
        <v>13</v>
      </c>
      <c r="D171" s="10">
        <v>1706018</v>
      </c>
      <c r="E171" s="10" t="s">
        <v>20</v>
      </c>
      <c r="F171" s="10">
        <v>0.2354</v>
      </c>
      <c r="G171" s="10">
        <v>0.76459999999999995</v>
      </c>
      <c r="H171" s="10" t="s">
        <v>52</v>
      </c>
      <c r="I171" s="10" t="b">
        <v>0</v>
      </c>
    </row>
    <row r="172" spans="3:9" x14ac:dyDescent="0.3">
      <c r="C172" s="10">
        <v>179</v>
      </c>
      <c r="D172" s="10">
        <v>1706214</v>
      </c>
      <c r="E172" s="10" t="s">
        <v>20</v>
      </c>
      <c r="F172" s="10">
        <v>0.2346</v>
      </c>
      <c r="G172" s="10">
        <v>0.76539999999999997</v>
      </c>
      <c r="H172" s="10" t="s">
        <v>31</v>
      </c>
      <c r="I172" s="10" t="b">
        <v>0</v>
      </c>
    </row>
    <row r="173" spans="3:9" x14ac:dyDescent="0.3">
      <c r="C173" s="10">
        <v>266</v>
      </c>
      <c r="D173" s="10">
        <v>1706341</v>
      </c>
      <c r="E173" s="10" t="s">
        <v>20</v>
      </c>
      <c r="F173" s="10">
        <v>0.23300000000000001</v>
      </c>
      <c r="G173" s="10">
        <v>0.76700000000000002</v>
      </c>
      <c r="H173" s="10" t="s">
        <v>47</v>
      </c>
      <c r="I173" s="10" t="b">
        <v>0</v>
      </c>
    </row>
    <row r="174" spans="3:9" x14ac:dyDescent="0.3">
      <c r="C174" s="10">
        <v>40</v>
      </c>
      <c r="D174" s="10">
        <v>1705044</v>
      </c>
      <c r="E174" s="10" t="s">
        <v>20</v>
      </c>
      <c r="F174" s="10">
        <v>0.23280000000000001</v>
      </c>
      <c r="G174" s="10">
        <v>0.76719999999999999</v>
      </c>
      <c r="H174" s="10" t="s">
        <v>31</v>
      </c>
      <c r="I174" s="10" t="b">
        <v>0</v>
      </c>
    </row>
    <row r="175" spans="3:9" x14ac:dyDescent="0.3">
      <c r="C175" s="10">
        <v>259</v>
      </c>
      <c r="D175" s="10">
        <v>1705324</v>
      </c>
      <c r="E175" s="10" t="s">
        <v>20</v>
      </c>
      <c r="F175" s="10">
        <v>0.23200000000000001</v>
      </c>
      <c r="G175" s="10">
        <v>0.76800000000000002</v>
      </c>
      <c r="H175" s="10" t="s">
        <v>47</v>
      </c>
      <c r="I175" s="10" t="b">
        <v>0</v>
      </c>
    </row>
    <row r="176" spans="3:9" x14ac:dyDescent="0.3">
      <c r="C176" s="10">
        <v>97</v>
      </c>
      <c r="D176" s="10">
        <v>1705114</v>
      </c>
      <c r="E176" s="10" t="s">
        <v>20</v>
      </c>
      <c r="F176" s="10">
        <v>0.2273</v>
      </c>
      <c r="G176" s="10">
        <v>0.77270000000000005</v>
      </c>
      <c r="H176" s="10" t="s">
        <v>47</v>
      </c>
      <c r="I176" s="10" t="b">
        <v>0</v>
      </c>
    </row>
    <row r="177" spans="3:9" x14ac:dyDescent="0.3">
      <c r="C177" s="10">
        <v>206</v>
      </c>
      <c r="D177" s="10">
        <v>1706251</v>
      </c>
      <c r="E177" s="10" t="s">
        <v>20</v>
      </c>
      <c r="F177" s="10">
        <v>0.22700000000000001</v>
      </c>
      <c r="G177" s="10">
        <v>0.77300000000000002</v>
      </c>
      <c r="H177" s="10" t="s">
        <v>47</v>
      </c>
      <c r="I177" s="10" t="b">
        <v>0</v>
      </c>
    </row>
    <row r="178" spans="3:9" x14ac:dyDescent="0.3">
      <c r="C178" s="10">
        <v>11</v>
      </c>
      <c r="D178" s="10">
        <v>1706016</v>
      </c>
      <c r="E178" s="10" t="s">
        <v>20</v>
      </c>
      <c r="F178" s="10">
        <v>0.22650000000000001</v>
      </c>
      <c r="G178" s="10">
        <v>0.77349999999999997</v>
      </c>
      <c r="H178" s="10" t="s">
        <v>47</v>
      </c>
      <c r="I178" s="10" t="b">
        <v>0</v>
      </c>
    </row>
    <row r="179" spans="3:9" x14ac:dyDescent="0.3">
      <c r="C179" s="10">
        <v>97</v>
      </c>
      <c r="D179" s="10">
        <v>1706119</v>
      </c>
      <c r="E179" s="10" t="s">
        <v>20</v>
      </c>
      <c r="F179" s="10">
        <v>0.22339999999999999</v>
      </c>
      <c r="G179" s="10">
        <v>0.77659999999999996</v>
      </c>
      <c r="H179" s="10" t="s">
        <v>31</v>
      </c>
      <c r="I179" s="10" t="b">
        <v>0</v>
      </c>
    </row>
    <row r="180" spans="3:9" x14ac:dyDescent="0.3">
      <c r="C180" s="10">
        <v>228</v>
      </c>
      <c r="D180" s="10">
        <v>1705271</v>
      </c>
      <c r="E180" s="10" t="s">
        <v>20</v>
      </c>
      <c r="F180" s="10">
        <v>0.2218</v>
      </c>
      <c r="G180" s="10">
        <v>0.7782</v>
      </c>
      <c r="H180" s="10" t="s">
        <v>31</v>
      </c>
      <c r="I180" s="10" t="b">
        <v>0</v>
      </c>
    </row>
    <row r="181" spans="3:9" x14ac:dyDescent="0.3">
      <c r="C181" s="10">
        <v>150</v>
      </c>
      <c r="D181" s="10">
        <v>1705174</v>
      </c>
      <c r="E181" s="10" t="s">
        <v>20</v>
      </c>
      <c r="F181" s="10">
        <v>0.22109999999999999</v>
      </c>
      <c r="G181" s="10">
        <v>0.77890000000000004</v>
      </c>
      <c r="H181" s="10" t="s">
        <v>31</v>
      </c>
      <c r="I181" s="10" t="b">
        <v>0</v>
      </c>
    </row>
    <row r="182" spans="3:9" x14ac:dyDescent="0.3">
      <c r="C182" s="10">
        <v>154</v>
      </c>
      <c r="D182" s="10">
        <v>1705178</v>
      </c>
      <c r="E182" s="10" t="s">
        <v>20</v>
      </c>
      <c r="F182" s="10">
        <v>0.2205</v>
      </c>
      <c r="G182" s="10">
        <v>0.77949999999999997</v>
      </c>
      <c r="H182" s="10" t="s">
        <v>31</v>
      </c>
      <c r="I182" s="10" t="b">
        <v>0</v>
      </c>
    </row>
    <row r="183" spans="3:9" x14ac:dyDescent="0.3">
      <c r="C183" s="10">
        <v>258</v>
      </c>
      <c r="D183" s="10">
        <v>1706331</v>
      </c>
      <c r="E183" s="10" t="s">
        <v>20</v>
      </c>
      <c r="F183" s="10">
        <v>0.21909999999999999</v>
      </c>
      <c r="G183" s="10">
        <v>0.78090000000000004</v>
      </c>
      <c r="H183" s="10" t="s">
        <v>31</v>
      </c>
      <c r="I183" s="10" t="b">
        <v>0</v>
      </c>
    </row>
    <row r="184" spans="3:9" x14ac:dyDescent="0.3">
      <c r="C184" s="10">
        <v>141</v>
      </c>
      <c r="D184" s="10">
        <v>1706173</v>
      </c>
      <c r="E184" s="10" t="s">
        <v>20</v>
      </c>
      <c r="F184" s="10">
        <v>0.21859999999999999</v>
      </c>
      <c r="G184" s="10">
        <v>0.78139999999999998</v>
      </c>
      <c r="H184" s="10" t="s">
        <v>41</v>
      </c>
      <c r="I184" s="10" t="b">
        <v>0</v>
      </c>
    </row>
    <row r="185" spans="3:9" x14ac:dyDescent="0.3">
      <c r="C185" s="10">
        <v>192</v>
      </c>
      <c r="D185" s="10">
        <v>1705229</v>
      </c>
      <c r="E185" s="10" t="s">
        <v>20</v>
      </c>
      <c r="F185" s="10">
        <v>0.21829999999999999</v>
      </c>
      <c r="G185" s="10">
        <v>0.78169999999999995</v>
      </c>
      <c r="H185" s="10" t="s">
        <v>31</v>
      </c>
      <c r="I185" s="10" t="b">
        <v>0</v>
      </c>
    </row>
    <row r="186" spans="3:9" x14ac:dyDescent="0.3">
      <c r="C186" s="10">
        <v>72</v>
      </c>
      <c r="D186" s="10">
        <v>1705085</v>
      </c>
      <c r="E186" s="10" t="s">
        <v>20</v>
      </c>
      <c r="F186" s="10">
        <v>0.21820000000000001</v>
      </c>
      <c r="G186" s="10">
        <v>0.78180000000000005</v>
      </c>
      <c r="H186" s="10" t="s">
        <v>46</v>
      </c>
      <c r="I186" s="10" t="b">
        <v>0</v>
      </c>
    </row>
    <row r="187" spans="3:9" x14ac:dyDescent="0.3">
      <c r="C187" s="10">
        <v>79</v>
      </c>
      <c r="D187" s="10">
        <v>1706099</v>
      </c>
      <c r="E187" s="10" t="s">
        <v>20</v>
      </c>
      <c r="F187" s="10">
        <v>0.21659999999999999</v>
      </c>
      <c r="G187" s="10">
        <v>0.78339999999999999</v>
      </c>
      <c r="H187" s="10" t="s">
        <v>55</v>
      </c>
      <c r="I187" s="10" t="b">
        <v>0</v>
      </c>
    </row>
    <row r="188" spans="3:9" x14ac:dyDescent="0.3">
      <c r="C188" s="10">
        <v>135</v>
      </c>
      <c r="D188" s="10">
        <v>1706164</v>
      </c>
      <c r="E188" s="10" t="s">
        <v>20</v>
      </c>
      <c r="F188" s="10">
        <v>0.21629999999999999</v>
      </c>
      <c r="G188" s="10">
        <v>0.78369999999999995</v>
      </c>
      <c r="H188" s="10" t="s">
        <v>46</v>
      </c>
      <c r="I188" s="10" t="b">
        <v>0</v>
      </c>
    </row>
    <row r="189" spans="3:9" x14ac:dyDescent="0.3">
      <c r="C189" s="10">
        <v>36</v>
      </c>
      <c r="D189" s="10">
        <v>1706047</v>
      </c>
      <c r="E189" s="10" t="s">
        <v>20</v>
      </c>
      <c r="F189" s="10">
        <v>0.216</v>
      </c>
      <c r="G189" s="10">
        <v>0.78400000000000003</v>
      </c>
      <c r="H189" s="10" t="s">
        <v>31</v>
      </c>
      <c r="I189" s="10" t="b">
        <v>0</v>
      </c>
    </row>
    <row r="190" spans="3:9" x14ac:dyDescent="0.3">
      <c r="C190" s="10">
        <v>109</v>
      </c>
      <c r="D190" s="10">
        <v>1706134</v>
      </c>
      <c r="E190" s="10" t="s">
        <v>20</v>
      </c>
      <c r="F190" s="10">
        <v>0.21579999999999999</v>
      </c>
      <c r="G190" s="10">
        <v>0.78420000000000001</v>
      </c>
      <c r="H190" s="10" t="s">
        <v>31</v>
      </c>
      <c r="I190" s="10" t="b">
        <v>0</v>
      </c>
    </row>
    <row r="191" spans="3:9" x14ac:dyDescent="0.3">
      <c r="C191" s="10">
        <v>263</v>
      </c>
      <c r="D191" s="10">
        <v>1706336</v>
      </c>
      <c r="E191" s="10" t="s">
        <v>20</v>
      </c>
      <c r="F191" s="10">
        <v>0.214</v>
      </c>
      <c r="G191" s="10">
        <v>0.78600000000000003</v>
      </c>
      <c r="H191" s="10" t="s">
        <v>31</v>
      </c>
      <c r="I191" s="10" t="b">
        <v>0</v>
      </c>
    </row>
    <row r="192" spans="3:9" x14ac:dyDescent="0.3">
      <c r="C192" s="10">
        <v>124</v>
      </c>
      <c r="D192" s="10">
        <v>1706151</v>
      </c>
      <c r="E192" s="10" t="s">
        <v>20</v>
      </c>
      <c r="F192" s="10">
        <v>0.21279999999999999</v>
      </c>
      <c r="G192" s="10">
        <v>0.78720000000000001</v>
      </c>
      <c r="H192" s="10" t="s">
        <v>31</v>
      </c>
      <c r="I192" s="10" t="b">
        <v>0</v>
      </c>
    </row>
    <row r="193" spans="3:9" x14ac:dyDescent="0.3">
      <c r="C193" s="10">
        <v>152</v>
      </c>
      <c r="D193" s="10">
        <v>1705176</v>
      </c>
      <c r="E193" s="10" t="s">
        <v>20</v>
      </c>
      <c r="F193" s="10">
        <v>0.21249999999999999</v>
      </c>
      <c r="G193" s="10">
        <v>0.78749999999999998</v>
      </c>
      <c r="H193" s="10" t="s">
        <v>31</v>
      </c>
      <c r="I193" s="10" t="b">
        <v>0</v>
      </c>
    </row>
    <row r="194" spans="3:9" x14ac:dyDescent="0.3">
      <c r="C194" s="10">
        <v>239</v>
      </c>
      <c r="D194" s="10">
        <v>1705297</v>
      </c>
      <c r="E194" s="10" t="s">
        <v>20</v>
      </c>
      <c r="F194" s="10">
        <v>0.2114</v>
      </c>
      <c r="G194" s="10">
        <v>0.78859999999999997</v>
      </c>
      <c r="H194" s="10" t="s">
        <v>31</v>
      </c>
      <c r="I194" s="10" t="b">
        <v>0</v>
      </c>
    </row>
    <row r="195" spans="3:9" x14ac:dyDescent="0.3">
      <c r="C195" s="10">
        <v>253</v>
      </c>
      <c r="D195" s="10">
        <v>1705316</v>
      </c>
      <c r="E195" s="10" t="s">
        <v>20</v>
      </c>
      <c r="F195" s="10">
        <v>0.2109</v>
      </c>
      <c r="G195" s="10">
        <v>0.78910000000000002</v>
      </c>
      <c r="H195" s="10" t="s">
        <v>31</v>
      </c>
      <c r="I195" s="10" t="b">
        <v>0</v>
      </c>
    </row>
    <row r="196" spans="3:9" x14ac:dyDescent="0.3">
      <c r="C196" s="10">
        <v>113</v>
      </c>
      <c r="D196" s="10">
        <v>1705133</v>
      </c>
      <c r="E196" s="10" t="s">
        <v>20</v>
      </c>
      <c r="F196" s="10">
        <v>0.2099</v>
      </c>
      <c r="G196" s="10">
        <v>0.79010000000000002</v>
      </c>
      <c r="H196" s="10" t="s">
        <v>31</v>
      </c>
      <c r="I196" s="10" t="b">
        <v>0</v>
      </c>
    </row>
    <row r="197" spans="3:9" x14ac:dyDescent="0.3">
      <c r="C197" s="10">
        <v>182</v>
      </c>
      <c r="D197" s="10">
        <v>1705218</v>
      </c>
      <c r="E197" s="10" t="s">
        <v>20</v>
      </c>
      <c r="F197" s="10">
        <v>0.20780000000000001</v>
      </c>
      <c r="G197" s="10">
        <v>0.79220000000000002</v>
      </c>
      <c r="H197" s="10" t="s">
        <v>31</v>
      </c>
      <c r="I197" s="10" t="b">
        <v>0</v>
      </c>
    </row>
    <row r="198" spans="3:9" x14ac:dyDescent="0.3">
      <c r="C198" s="10">
        <v>196</v>
      </c>
      <c r="D198" s="10">
        <v>1705233</v>
      </c>
      <c r="E198" s="10" t="s">
        <v>20</v>
      </c>
      <c r="F198" s="10">
        <v>0.2072</v>
      </c>
      <c r="G198" s="10">
        <v>0.79279999999999995</v>
      </c>
      <c r="H198" s="10" t="s">
        <v>35</v>
      </c>
      <c r="I198" s="10" t="b">
        <v>0</v>
      </c>
    </row>
    <row r="199" spans="3:9" x14ac:dyDescent="0.3">
      <c r="C199" s="10">
        <v>268</v>
      </c>
      <c r="D199" s="10">
        <v>1705338</v>
      </c>
      <c r="E199" s="10" t="s">
        <v>20</v>
      </c>
      <c r="F199" s="10">
        <v>0.20530000000000001</v>
      </c>
      <c r="G199" s="10">
        <v>0.79469999999999996</v>
      </c>
      <c r="H199" s="10" t="s">
        <v>31</v>
      </c>
      <c r="I199" s="10" t="b">
        <v>0</v>
      </c>
    </row>
    <row r="200" spans="3:9" x14ac:dyDescent="0.3">
      <c r="C200" s="10">
        <v>188</v>
      </c>
      <c r="D200" s="10">
        <v>1706223</v>
      </c>
      <c r="E200" s="10" t="s">
        <v>20</v>
      </c>
      <c r="F200" s="10">
        <v>0.2051</v>
      </c>
      <c r="G200" s="10">
        <v>0.79490000000000005</v>
      </c>
      <c r="H200" s="10" t="s">
        <v>31</v>
      </c>
      <c r="I200" s="10" t="b">
        <v>0</v>
      </c>
    </row>
    <row r="201" spans="3:9" x14ac:dyDescent="0.3">
      <c r="C201" s="10">
        <v>291</v>
      </c>
      <c r="D201" s="10">
        <v>1705390</v>
      </c>
      <c r="E201" s="10" t="s">
        <v>20</v>
      </c>
      <c r="F201" s="10">
        <v>0.2046</v>
      </c>
      <c r="G201" s="10">
        <v>0.7954</v>
      </c>
      <c r="H201" s="10" t="s">
        <v>31</v>
      </c>
      <c r="I201" s="10" t="b">
        <v>0</v>
      </c>
    </row>
    <row r="202" spans="3:9" x14ac:dyDescent="0.3">
      <c r="C202" s="10">
        <v>103</v>
      </c>
      <c r="D202" s="10">
        <v>1706125</v>
      </c>
      <c r="E202" s="10" t="s">
        <v>20</v>
      </c>
      <c r="F202" s="10">
        <v>0.2046</v>
      </c>
      <c r="G202" s="10">
        <v>0.7954</v>
      </c>
      <c r="H202" s="10" t="s">
        <v>47</v>
      </c>
      <c r="I202" s="10" t="b">
        <v>0</v>
      </c>
    </row>
    <row r="203" spans="3:9" x14ac:dyDescent="0.3">
      <c r="C203" s="10">
        <v>187</v>
      </c>
      <c r="D203" s="10">
        <v>1706221</v>
      </c>
      <c r="E203" s="10" t="s">
        <v>20</v>
      </c>
      <c r="F203" s="10">
        <v>0.2044</v>
      </c>
      <c r="G203" s="10">
        <v>0.79559999999999997</v>
      </c>
      <c r="H203" s="10" t="s">
        <v>33</v>
      </c>
      <c r="I203" s="10" t="b">
        <v>0</v>
      </c>
    </row>
    <row r="204" spans="3:9" x14ac:dyDescent="0.3">
      <c r="C204" s="10">
        <v>7</v>
      </c>
      <c r="D204" s="10">
        <v>1705008</v>
      </c>
      <c r="E204" s="10" t="s">
        <v>20</v>
      </c>
      <c r="F204" s="10">
        <v>0.2036</v>
      </c>
      <c r="G204" s="10">
        <v>0.7964</v>
      </c>
      <c r="H204" s="10" t="s">
        <v>46</v>
      </c>
      <c r="I204" s="10" t="b">
        <v>0</v>
      </c>
    </row>
    <row r="205" spans="3:9" x14ac:dyDescent="0.3">
      <c r="C205" s="10">
        <v>124</v>
      </c>
      <c r="D205" s="10">
        <v>1705145</v>
      </c>
      <c r="E205" s="10" t="s">
        <v>20</v>
      </c>
      <c r="F205" s="10">
        <v>0.2036</v>
      </c>
      <c r="G205" s="10">
        <v>0.7964</v>
      </c>
      <c r="H205" s="10" t="s">
        <v>31</v>
      </c>
      <c r="I205" s="10" t="b">
        <v>0</v>
      </c>
    </row>
    <row r="206" spans="3:9" x14ac:dyDescent="0.3">
      <c r="C206" s="10">
        <v>118</v>
      </c>
      <c r="D206" s="10">
        <v>1706144</v>
      </c>
      <c r="E206" s="10" t="s">
        <v>20</v>
      </c>
      <c r="F206" s="10">
        <v>0.2036</v>
      </c>
      <c r="G206" s="10">
        <v>0.7964</v>
      </c>
      <c r="H206" s="10" t="s">
        <v>46</v>
      </c>
      <c r="I206" s="10" t="b">
        <v>0</v>
      </c>
    </row>
    <row r="207" spans="3:9" x14ac:dyDescent="0.3">
      <c r="C207" s="10">
        <v>181</v>
      </c>
      <c r="D207" s="10">
        <v>1705217</v>
      </c>
      <c r="E207" s="10" t="s">
        <v>20</v>
      </c>
      <c r="F207" s="10">
        <v>0.20300000000000001</v>
      </c>
      <c r="G207" s="10">
        <v>0.79700000000000004</v>
      </c>
      <c r="H207" s="10" t="s">
        <v>31</v>
      </c>
      <c r="I207" s="10" t="b">
        <v>0</v>
      </c>
    </row>
    <row r="208" spans="3:9" x14ac:dyDescent="0.3">
      <c r="C208" s="10">
        <v>3</v>
      </c>
      <c r="D208" s="10">
        <v>1705003</v>
      </c>
      <c r="E208" s="10" t="s">
        <v>20</v>
      </c>
      <c r="F208" s="10">
        <v>0.2026</v>
      </c>
      <c r="G208" s="10">
        <v>0.7974</v>
      </c>
      <c r="H208" s="10" t="s">
        <v>31</v>
      </c>
      <c r="I208" s="10" t="b">
        <v>0</v>
      </c>
    </row>
    <row r="209" spans="3:9" x14ac:dyDescent="0.3">
      <c r="C209" s="10">
        <v>227</v>
      </c>
      <c r="D209" s="10">
        <v>1705270</v>
      </c>
      <c r="E209" s="10" t="s">
        <v>20</v>
      </c>
      <c r="F209" s="10">
        <v>0.20169999999999999</v>
      </c>
      <c r="G209" s="10">
        <v>0.79830000000000001</v>
      </c>
      <c r="H209" s="10" t="s">
        <v>31</v>
      </c>
      <c r="I209" s="10" t="b">
        <v>0</v>
      </c>
    </row>
    <row r="210" spans="3:9" x14ac:dyDescent="0.3">
      <c r="C210" s="10">
        <v>251</v>
      </c>
      <c r="D210" s="10">
        <v>1705314</v>
      </c>
      <c r="E210" s="10" t="s">
        <v>20</v>
      </c>
      <c r="F210" s="10">
        <v>0.20169999999999999</v>
      </c>
      <c r="G210" s="10">
        <v>0.79830000000000001</v>
      </c>
      <c r="H210" s="10" t="s">
        <v>46</v>
      </c>
      <c r="I210" s="10" t="b">
        <v>0</v>
      </c>
    </row>
    <row r="211" spans="3:9" x14ac:dyDescent="0.3">
      <c r="C211" s="10">
        <v>208</v>
      </c>
      <c r="D211" s="10">
        <v>1705248</v>
      </c>
      <c r="E211" s="10" t="s">
        <v>20</v>
      </c>
      <c r="F211" s="10">
        <v>0.19950000000000001</v>
      </c>
      <c r="G211" s="10">
        <v>0.80049999999999999</v>
      </c>
      <c r="H211" s="10" t="s">
        <v>33</v>
      </c>
      <c r="I211" s="10" t="b">
        <v>0</v>
      </c>
    </row>
    <row r="212" spans="3:9" x14ac:dyDescent="0.3">
      <c r="C212" s="10">
        <v>52</v>
      </c>
      <c r="D212" s="10">
        <v>1705060</v>
      </c>
      <c r="E212" s="10" t="s">
        <v>20</v>
      </c>
      <c r="F212" s="10">
        <v>0.19900000000000001</v>
      </c>
      <c r="G212" s="10">
        <v>0.80100000000000005</v>
      </c>
      <c r="H212" s="10" t="s">
        <v>52</v>
      </c>
      <c r="I212" s="10" t="b">
        <v>0</v>
      </c>
    </row>
    <row r="213" spans="3:9" x14ac:dyDescent="0.3">
      <c r="C213" s="10">
        <v>158</v>
      </c>
      <c r="D213" s="10">
        <v>1705182</v>
      </c>
      <c r="E213" s="10" t="s">
        <v>20</v>
      </c>
      <c r="F213" s="10">
        <v>0.1986</v>
      </c>
      <c r="G213" s="10">
        <v>0.8014</v>
      </c>
      <c r="H213" s="10" t="s">
        <v>38</v>
      </c>
      <c r="I213" s="10" t="b">
        <v>0</v>
      </c>
    </row>
    <row r="214" spans="3:9" x14ac:dyDescent="0.3">
      <c r="C214" s="10">
        <v>74</v>
      </c>
      <c r="D214" s="10">
        <v>1705088</v>
      </c>
      <c r="E214" s="10" t="s">
        <v>20</v>
      </c>
      <c r="F214" s="10">
        <v>0.1976</v>
      </c>
      <c r="G214" s="10">
        <v>0.8024</v>
      </c>
      <c r="H214" s="10" t="s">
        <v>31</v>
      </c>
      <c r="I214" s="10" t="b">
        <v>0</v>
      </c>
    </row>
    <row r="215" spans="3:9" x14ac:dyDescent="0.3">
      <c r="C215" s="10">
        <v>169</v>
      </c>
      <c r="D215" s="10">
        <v>1705203</v>
      </c>
      <c r="E215" s="10" t="s">
        <v>20</v>
      </c>
      <c r="F215" s="10">
        <v>0.19670000000000001</v>
      </c>
      <c r="G215" s="10">
        <v>0.80330000000000001</v>
      </c>
      <c r="H215" s="10" t="s">
        <v>31</v>
      </c>
      <c r="I215" s="10" t="b">
        <v>0</v>
      </c>
    </row>
    <row r="216" spans="3:9" x14ac:dyDescent="0.3">
      <c r="C216" s="10">
        <v>125</v>
      </c>
      <c r="D216" s="10">
        <v>1705146</v>
      </c>
      <c r="E216" s="10" t="s">
        <v>20</v>
      </c>
      <c r="F216" s="10">
        <v>0.19639999999999999</v>
      </c>
      <c r="G216" s="10">
        <v>0.80359999999999998</v>
      </c>
      <c r="H216" s="10" t="s">
        <v>31</v>
      </c>
      <c r="I216" s="10" t="b">
        <v>0</v>
      </c>
    </row>
    <row r="217" spans="3:9" x14ac:dyDescent="0.3">
      <c r="C217" s="10">
        <v>94</v>
      </c>
      <c r="D217" s="10">
        <v>1705110</v>
      </c>
      <c r="E217" s="10" t="s">
        <v>20</v>
      </c>
      <c r="F217" s="10">
        <v>0.1963</v>
      </c>
      <c r="G217" s="10">
        <v>0.80369999999999997</v>
      </c>
      <c r="H217" s="10" t="s">
        <v>47</v>
      </c>
      <c r="I217" s="10" t="b">
        <v>0</v>
      </c>
    </row>
    <row r="218" spans="3:9" x14ac:dyDescent="0.3">
      <c r="C218" s="10">
        <v>117</v>
      </c>
      <c r="D218" s="10">
        <v>1705137</v>
      </c>
      <c r="E218" s="10" t="s">
        <v>20</v>
      </c>
      <c r="F218" s="10">
        <v>0.19470000000000001</v>
      </c>
      <c r="G218" s="10">
        <v>0.80530000000000002</v>
      </c>
      <c r="H218" s="10" t="s">
        <v>31</v>
      </c>
      <c r="I218" s="10" t="b">
        <v>0</v>
      </c>
    </row>
    <row r="219" spans="3:9" x14ac:dyDescent="0.3">
      <c r="C219" s="10">
        <v>153</v>
      </c>
      <c r="D219" s="10">
        <v>1706186</v>
      </c>
      <c r="E219" s="10" t="s">
        <v>20</v>
      </c>
      <c r="F219" s="10">
        <v>0.1943</v>
      </c>
      <c r="G219" s="10">
        <v>0.80569999999999997</v>
      </c>
      <c r="H219" s="10" t="s">
        <v>38</v>
      </c>
      <c r="I219" s="10" t="b">
        <v>0</v>
      </c>
    </row>
    <row r="220" spans="3:9" x14ac:dyDescent="0.3">
      <c r="C220" s="10">
        <v>222</v>
      </c>
      <c r="D220" s="10">
        <v>1705263</v>
      </c>
      <c r="E220" s="10" t="s">
        <v>20</v>
      </c>
      <c r="F220" s="10">
        <v>0.19339999999999999</v>
      </c>
      <c r="G220" s="10">
        <v>0.80659999999999998</v>
      </c>
      <c r="H220" s="10" t="s">
        <v>31</v>
      </c>
      <c r="I220" s="10" t="b">
        <v>0</v>
      </c>
    </row>
    <row r="221" spans="3:9" x14ac:dyDescent="0.3">
      <c r="C221" s="10">
        <v>58</v>
      </c>
      <c r="D221" s="10">
        <v>1706071</v>
      </c>
      <c r="E221" s="10" t="s">
        <v>20</v>
      </c>
      <c r="F221" s="10">
        <v>0.1928</v>
      </c>
      <c r="G221" s="10">
        <v>0.80720000000000003</v>
      </c>
      <c r="H221" s="10" t="s">
        <v>31</v>
      </c>
      <c r="I221" s="10" t="b">
        <v>0</v>
      </c>
    </row>
    <row r="222" spans="3:9" x14ac:dyDescent="0.3">
      <c r="C222" s="10">
        <v>182</v>
      </c>
      <c r="D222" s="10">
        <v>1706131</v>
      </c>
      <c r="E222" s="10" t="s">
        <v>20</v>
      </c>
      <c r="F222" s="10">
        <v>0.1928</v>
      </c>
      <c r="G222" s="10">
        <v>0.80720000000000003</v>
      </c>
      <c r="H222" s="10" t="s">
        <v>47</v>
      </c>
      <c r="I222" s="10" t="b">
        <v>0</v>
      </c>
    </row>
    <row r="223" spans="3:9" x14ac:dyDescent="0.3">
      <c r="C223" s="10">
        <v>5</v>
      </c>
      <c r="D223" s="10">
        <v>1706008</v>
      </c>
      <c r="E223" s="10" t="s">
        <v>20</v>
      </c>
      <c r="F223" s="10">
        <v>0.19109999999999999</v>
      </c>
      <c r="G223" s="10">
        <v>0.80889999999999995</v>
      </c>
      <c r="H223" s="10" t="s">
        <v>31</v>
      </c>
      <c r="I223" s="10" t="b">
        <v>0</v>
      </c>
    </row>
    <row r="224" spans="3:9" x14ac:dyDescent="0.3">
      <c r="C224" s="10">
        <v>196</v>
      </c>
      <c r="D224" s="10">
        <v>1706232</v>
      </c>
      <c r="E224" s="10" t="s">
        <v>20</v>
      </c>
      <c r="F224" s="10">
        <v>0.191</v>
      </c>
      <c r="G224" s="10">
        <v>0.80900000000000005</v>
      </c>
      <c r="H224" s="10" t="s">
        <v>31</v>
      </c>
      <c r="I224" s="10" t="b">
        <v>0</v>
      </c>
    </row>
    <row r="225" spans="3:9" x14ac:dyDescent="0.3">
      <c r="C225" s="10">
        <v>254</v>
      </c>
      <c r="D225" s="10">
        <v>1705317</v>
      </c>
      <c r="E225" s="10" t="s">
        <v>20</v>
      </c>
      <c r="F225" s="10">
        <v>0.18959999999999999</v>
      </c>
      <c r="G225" s="10">
        <v>0.81040000000000001</v>
      </c>
      <c r="H225" s="10" t="s">
        <v>52</v>
      </c>
      <c r="I225" s="10" t="b">
        <v>0</v>
      </c>
    </row>
    <row r="226" spans="3:9" x14ac:dyDescent="0.3">
      <c r="C226" s="10">
        <v>24</v>
      </c>
      <c r="D226" s="10">
        <v>1706032</v>
      </c>
      <c r="E226" s="10" t="s">
        <v>20</v>
      </c>
      <c r="F226" s="10">
        <v>0.18920000000000001</v>
      </c>
      <c r="G226" s="10">
        <v>0.81079999999999997</v>
      </c>
      <c r="H226" s="10" t="s">
        <v>31</v>
      </c>
      <c r="I226" s="10" t="b">
        <v>0</v>
      </c>
    </row>
    <row r="227" spans="3:9" x14ac:dyDescent="0.3">
      <c r="C227" s="10">
        <v>102</v>
      </c>
      <c r="D227" s="10">
        <v>1705120</v>
      </c>
      <c r="E227" s="10" t="s">
        <v>20</v>
      </c>
      <c r="F227" s="10">
        <v>0.18779999999999999</v>
      </c>
      <c r="G227" s="10">
        <v>0.81220000000000003</v>
      </c>
      <c r="H227" s="10" t="s">
        <v>31</v>
      </c>
      <c r="I227" s="10" t="b">
        <v>0</v>
      </c>
    </row>
    <row r="228" spans="3:9" x14ac:dyDescent="0.3">
      <c r="C228" s="10">
        <v>287</v>
      </c>
      <c r="D228" s="10">
        <v>1705386</v>
      </c>
      <c r="E228" s="10" t="s">
        <v>20</v>
      </c>
      <c r="F228" s="10">
        <v>0.18709999999999999</v>
      </c>
      <c r="G228" s="10">
        <v>0.81289999999999996</v>
      </c>
      <c r="H228" s="10" t="s">
        <v>26</v>
      </c>
      <c r="I228" s="10" t="b">
        <v>0</v>
      </c>
    </row>
    <row r="229" spans="3:9" x14ac:dyDescent="0.3">
      <c r="C229" s="10">
        <v>14</v>
      </c>
      <c r="D229" s="10">
        <v>1706020</v>
      </c>
      <c r="E229" s="10" t="s">
        <v>20</v>
      </c>
      <c r="F229" s="10">
        <v>0.18609999999999999</v>
      </c>
      <c r="G229" s="10">
        <v>0.81389999999999996</v>
      </c>
      <c r="H229" s="10" t="s">
        <v>31</v>
      </c>
      <c r="I229" s="10" t="b">
        <v>0</v>
      </c>
    </row>
    <row r="230" spans="3:9" x14ac:dyDescent="0.3">
      <c r="C230" s="10">
        <v>181</v>
      </c>
      <c r="D230" s="10">
        <v>1706216</v>
      </c>
      <c r="E230" s="10" t="s">
        <v>20</v>
      </c>
      <c r="F230" s="10">
        <v>0.1837</v>
      </c>
      <c r="G230" s="10">
        <v>0.81630000000000003</v>
      </c>
      <c r="H230" s="10" t="s">
        <v>46</v>
      </c>
      <c r="I230" s="10" t="b">
        <v>0</v>
      </c>
    </row>
    <row r="231" spans="3:9" x14ac:dyDescent="0.3">
      <c r="C231" s="10">
        <v>117</v>
      </c>
      <c r="D231" s="10">
        <v>1706143</v>
      </c>
      <c r="E231" s="10" t="s">
        <v>20</v>
      </c>
      <c r="F231" s="10">
        <v>0.18340000000000001</v>
      </c>
      <c r="G231" s="10">
        <v>0.81659999999999999</v>
      </c>
      <c r="H231" s="10" t="s">
        <v>46</v>
      </c>
      <c r="I231" s="10" t="b">
        <v>0</v>
      </c>
    </row>
    <row r="232" spans="3:9" x14ac:dyDescent="0.3">
      <c r="C232" s="10">
        <v>23</v>
      </c>
      <c r="D232" s="10">
        <v>1706031</v>
      </c>
      <c r="E232" s="10" t="s">
        <v>20</v>
      </c>
      <c r="F232" s="10">
        <v>0.1827</v>
      </c>
      <c r="G232" s="10">
        <v>0.81730000000000003</v>
      </c>
      <c r="H232" s="10" t="s">
        <v>31</v>
      </c>
      <c r="I232" s="10" t="b">
        <v>0</v>
      </c>
    </row>
    <row r="233" spans="3:9" x14ac:dyDescent="0.3">
      <c r="C233" s="10">
        <v>51</v>
      </c>
      <c r="D233" s="10">
        <v>1705059</v>
      </c>
      <c r="E233" s="10" t="s">
        <v>20</v>
      </c>
      <c r="F233" s="10">
        <v>0.18240000000000001</v>
      </c>
      <c r="G233" s="10">
        <v>0.81759999999999999</v>
      </c>
      <c r="H233" s="10" t="s">
        <v>31</v>
      </c>
      <c r="I233" s="10" t="b">
        <v>0</v>
      </c>
    </row>
    <row r="234" spans="3:9" x14ac:dyDescent="0.3">
      <c r="C234" s="10">
        <v>11</v>
      </c>
      <c r="D234" s="10">
        <v>1705012</v>
      </c>
      <c r="E234" s="10" t="s">
        <v>20</v>
      </c>
      <c r="F234" s="10">
        <v>0.18149999999999999</v>
      </c>
      <c r="G234" s="10">
        <v>0.81850000000000001</v>
      </c>
      <c r="H234" s="10" t="s">
        <v>46</v>
      </c>
      <c r="I234" s="10" t="b">
        <v>0</v>
      </c>
    </row>
    <row r="235" spans="3:9" x14ac:dyDescent="0.3">
      <c r="C235" s="10">
        <v>38</v>
      </c>
      <c r="D235" s="10">
        <v>1705042</v>
      </c>
      <c r="E235" s="10" t="s">
        <v>20</v>
      </c>
      <c r="F235" s="10">
        <v>0.18029999999999999</v>
      </c>
      <c r="G235" s="10">
        <v>0.81969999999999998</v>
      </c>
      <c r="H235" s="10" t="s">
        <v>31</v>
      </c>
      <c r="I235" s="10" t="b">
        <v>0</v>
      </c>
    </row>
    <row r="236" spans="3:9" x14ac:dyDescent="0.3">
      <c r="C236" s="10">
        <v>217</v>
      </c>
      <c r="D236" s="10">
        <v>1705258</v>
      </c>
      <c r="E236" s="10" t="s">
        <v>20</v>
      </c>
      <c r="F236" s="10">
        <v>0.18</v>
      </c>
      <c r="G236" s="10">
        <v>0.82</v>
      </c>
      <c r="H236" s="10" t="s">
        <v>33</v>
      </c>
      <c r="I236" s="10" t="b">
        <v>0</v>
      </c>
    </row>
    <row r="237" spans="3:9" x14ac:dyDescent="0.3">
      <c r="C237" s="10">
        <v>92</v>
      </c>
      <c r="D237" s="10">
        <v>1706112</v>
      </c>
      <c r="E237" s="10" t="s">
        <v>20</v>
      </c>
      <c r="F237" s="10">
        <v>0.17910000000000001</v>
      </c>
      <c r="G237" s="10">
        <v>0.82089999999999996</v>
      </c>
      <c r="H237" s="10" t="s">
        <v>38</v>
      </c>
      <c r="I237" s="10" t="b">
        <v>0</v>
      </c>
    </row>
    <row r="238" spans="3:9" x14ac:dyDescent="0.3">
      <c r="C238" s="10">
        <v>101</v>
      </c>
      <c r="D238" s="10">
        <v>1705119</v>
      </c>
      <c r="E238" s="10" t="s">
        <v>20</v>
      </c>
      <c r="F238" s="10">
        <v>0.17760000000000001</v>
      </c>
      <c r="G238" s="10">
        <v>0.82240000000000002</v>
      </c>
      <c r="H238" s="10" t="s">
        <v>47</v>
      </c>
      <c r="I238" s="10" t="b">
        <v>0</v>
      </c>
    </row>
    <row r="239" spans="3:9" x14ac:dyDescent="0.3">
      <c r="C239" s="10">
        <v>177</v>
      </c>
      <c r="D239" s="10">
        <v>1705212</v>
      </c>
      <c r="E239" s="10" t="s">
        <v>20</v>
      </c>
      <c r="F239" s="10">
        <v>0.17399999999999999</v>
      </c>
      <c r="G239" s="10">
        <v>0.82599999999999996</v>
      </c>
      <c r="H239" s="10" t="s">
        <v>26</v>
      </c>
      <c r="I239" s="10" t="b">
        <v>0</v>
      </c>
    </row>
    <row r="240" spans="3:9" x14ac:dyDescent="0.3">
      <c r="C240" s="10">
        <v>177</v>
      </c>
      <c r="D240" s="10">
        <v>1706211</v>
      </c>
      <c r="E240" s="10" t="s">
        <v>20</v>
      </c>
      <c r="F240" s="10">
        <v>0.1739</v>
      </c>
      <c r="G240" s="10">
        <v>0.82609999999999995</v>
      </c>
      <c r="H240" s="10" t="s">
        <v>31</v>
      </c>
      <c r="I240" s="10" t="b">
        <v>0</v>
      </c>
    </row>
    <row r="241" spans="3:9" x14ac:dyDescent="0.3">
      <c r="C241" s="10">
        <v>193</v>
      </c>
      <c r="D241" s="10">
        <v>1705230</v>
      </c>
      <c r="E241" s="10" t="s">
        <v>20</v>
      </c>
      <c r="F241" s="10">
        <v>0.17369999999999999</v>
      </c>
      <c r="G241" s="10">
        <v>0.82630000000000003</v>
      </c>
      <c r="H241" s="10" t="s">
        <v>31</v>
      </c>
      <c r="I241" s="10" t="b">
        <v>0</v>
      </c>
    </row>
    <row r="242" spans="3:9" x14ac:dyDescent="0.3">
      <c r="C242" s="10">
        <v>80</v>
      </c>
      <c r="D242" s="10">
        <v>1705095</v>
      </c>
      <c r="E242" s="10" t="s">
        <v>20</v>
      </c>
      <c r="F242" s="10">
        <v>0.1731</v>
      </c>
      <c r="G242" s="10">
        <v>0.82689999999999997</v>
      </c>
      <c r="H242" s="10" t="s">
        <v>41</v>
      </c>
      <c r="I242" s="10" t="b">
        <v>0</v>
      </c>
    </row>
    <row r="243" spans="3:9" x14ac:dyDescent="0.3">
      <c r="C243" s="10">
        <v>90</v>
      </c>
      <c r="D243" s="10">
        <v>1705106</v>
      </c>
      <c r="E243" s="10" t="s">
        <v>20</v>
      </c>
      <c r="F243" s="10">
        <v>0.1726</v>
      </c>
      <c r="G243" s="10">
        <v>0.82740000000000002</v>
      </c>
      <c r="H243" s="10" t="s">
        <v>31</v>
      </c>
      <c r="I243" s="10" t="b">
        <v>0</v>
      </c>
    </row>
    <row r="244" spans="3:9" x14ac:dyDescent="0.3">
      <c r="C244" s="10">
        <v>262</v>
      </c>
      <c r="D244" s="10">
        <v>1705327</v>
      </c>
      <c r="E244" s="10" t="s">
        <v>20</v>
      </c>
      <c r="F244" s="10">
        <v>0.17230000000000001</v>
      </c>
      <c r="G244" s="10">
        <v>0.82769999999999999</v>
      </c>
      <c r="H244" s="10" t="s">
        <v>31</v>
      </c>
      <c r="I244" s="10" t="b">
        <v>0</v>
      </c>
    </row>
    <row r="245" spans="3:9" x14ac:dyDescent="0.3">
      <c r="C245" s="10">
        <v>122</v>
      </c>
      <c r="D245" s="10">
        <v>1706149</v>
      </c>
      <c r="E245" s="10" t="s">
        <v>20</v>
      </c>
      <c r="F245" s="10">
        <v>0.17180000000000001</v>
      </c>
      <c r="G245" s="10">
        <v>0.82820000000000005</v>
      </c>
      <c r="H245" s="10" t="s">
        <v>38</v>
      </c>
      <c r="I245" s="10" t="b">
        <v>0</v>
      </c>
    </row>
    <row r="246" spans="3:9" x14ac:dyDescent="0.3">
      <c r="C246" s="10">
        <v>198</v>
      </c>
      <c r="D246" s="10">
        <v>1706234</v>
      </c>
      <c r="E246" s="10" t="s">
        <v>20</v>
      </c>
      <c r="F246" s="10">
        <v>0.17080000000000001</v>
      </c>
      <c r="G246" s="10">
        <v>0.82920000000000005</v>
      </c>
      <c r="H246" s="10" t="s">
        <v>31</v>
      </c>
      <c r="I246" s="10" t="b">
        <v>0</v>
      </c>
    </row>
    <row r="247" spans="3:9" x14ac:dyDescent="0.3">
      <c r="C247" s="10">
        <v>160</v>
      </c>
      <c r="D247" s="10">
        <v>1705185</v>
      </c>
      <c r="E247" s="10" t="s">
        <v>20</v>
      </c>
      <c r="F247" s="10">
        <v>0.16950000000000001</v>
      </c>
      <c r="G247" s="10">
        <v>0.83050000000000002</v>
      </c>
      <c r="H247" s="10" t="s">
        <v>31</v>
      </c>
      <c r="I247" s="10" t="b">
        <v>0</v>
      </c>
    </row>
    <row r="248" spans="3:9" x14ac:dyDescent="0.3">
      <c r="C248" s="10">
        <v>31</v>
      </c>
      <c r="D248" s="10">
        <v>1706039</v>
      </c>
      <c r="E248" s="10" t="s">
        <v>20</v>
      </c>
      <c r="F248" s="10">
        <v>0.16900000000000001</v>
      </c>
      <c r="G248" s="10">
        <v>0.83099999999999996</v>
      </c>
      <c r="H248" s="10" t="s">
        <v>38</v>
      </c>
      <c r="I248" s="10" t="b">
        <v>0</v>
      </c>
    </row>
    <row r="249" spans="3:9" x14ac:dyDescent="0.3">
      <c r="C249" s="10">
        <v>81</v>
      </c>
      <c r="D249" s="10">
        <v>1705096</v>
      </c>
      <c r="E249" s="10" t="s">
        <v>20</v>
      </c>
      <c r="F249" s="10">
        <v>0.1671</v>
      </c>
      <c r="G249" s="10">
        <v>0.83289999999999997</v>
      </c>
      <c r="H249" s="10" t="s">
        <v>52</v>
      </c>
      <c r="I249" s="10" t="b">
        <v>0</v>
      </c>
    </row>
    <row r="250" spans="3:9" x14ac:dyDescent="0.3">
      <c r="C250" s="10">
        <v>180</v>
      </c>
      <c r="D250" s="10">
        <v>1705216</v>
      </c>
      <c r="E250" s="10" t="s">
        <v>20</v>
      </c>
      <c r="F250" s="10">
        <v>0.16689999999999999</v>
      </c>
      <c r="G250" s="10">
        <v>0.83309999999999995</v>
      </c>
      <c r="H250" s="10" t="s">
        <v>31</v>
      </c>
      <c r="I250" s="10" t="b">
        <v>0</v>
      </c>
    </row>
    <row r="251" spans="3:9" x14ac:dyDescent="0.3">
      <c r="C251" s="10">
        <v>120</v>
      </c>
      <c r="D251" s="10">
        <v>1706146</v>
      </c>
      <c r="E251" s="10" t="s">
        <v>20</v>
      </c>
      <c r="F251" s="10">
        <v>0.16669999999999999</v>
      </c>
      <c r="G251" s="10">
        <v>0.83330000000000004</v>
      </c>
      <c r="H251" s="10" t="s">
        <v>31</v>
      </c>
      <c r="I251" s="10" t="b">
        <v>0</v>
      </c>
    </row>
    <row r="252" spans="3:9" x14ac:dyDescent="0.3">
      <c r="C252" s="10">
        <v>189</v>
      </c>
      <c r="D252" s="10">
        <v>1706224</v>
      </c>
      <c r="E252" s="10" t="s">
        <v>20</v>
      </c>
      <c r="F252" s="10">
        <v>0.16589999999999999</v>
      </c>
      <c r="G252" s="10">
        <v>0.83409999999999995</v>
      </c>
      <c r="H252" s="10" t="s">
        <v>47</v>
      </c>
      <c r="I252" s="10" t="b">
        <v>0</v>
      </c>
    </row>
    <row r="253" spans="3:9" x14ac:dyDescent="0.3">
      <c r="C253" s="10">
        <v>151</v>
      </c>
      <c r="D253" s="10">
        <v>1705175</v>
      </c>
      <c r="E253" s="10" t="s">
        <v>20</v>
      </c>
      <c r="F253" s="10">
        <v>0.1643</v>
      </c>
      <c r="G253" s="10">
        <v>0.8357</v>
      </c>
      <c r="H253" s="10" t="s">
        <v>38</v>
      </c>
      <c r="I253" s="10" t="b">
        <v>0</v>
      </c>
    </row>
    <row r="254" spans="3:9" x14ac:dyDescent="0.3">
      <c r="C254" s="10">
        <v>53</v>
      </c>
      <c r="D254" s="10">
        <v>1705061</v>
      </c>
      <c r="E254" s="10" t="s">
        <v>20</v>
      </c>
      <c r="F254" s="10">
        <v>0.16339999999999999</v>
      </c>
      <c r="G254" s="10">
        <v>0.83660000000000001</v>
      </c>
      <c r="H254" s="10" t="s">
        <v>31</v>
      </c>
      <c r="I254" s="10" t="b">
        <v>0</v>
      </c>
    </row>
    <row r="255" spans="3:9" x14ac:dyDescent="0.3">
      <c r="C255" s="10">
        <v>109</v>
      </c>
      <c r="D255" s="10">
        <v>1705129</v>
      </c>
      <c r="E255" s="10" t="s">
        <v>20</v>
      </c>
      <c r="F255" s="10">
        <v>0.16270000000000001</v>
      </c>
      <c r="G255" s="10">
        <v>0.83730000000000004</v>
      </c>
      <c r="H255" s="10" t="s">
        <v>31</v>
      </c>
      <c r="I255" s="10" t="b">
        <v>0</v>
      </c>
    </row>
    <row r="256" spans="3:9" x14ac:dyDescent="0.3">
      <c r="C256" s="10">
        <v>115</v>
      </c>
      <c r="D256" s="10">
        <v>1705135</v>
      </c>
      <c r="E256" s="10" t="s">
        <v>20</v>
      </c>
      <c r="F256" s="10">
        <v>0.1618</v>
      </c>
      <c r="G256" s="10">
        <v>0.83819999999999995</v>
      </c>
      <c r="H256" s="10" t="s">
        <v>31</v>
      </c>
      <c r="I256" s="10" t="b">
        <v>0</v>
      </c>
    </row>
    <row r="257" spans="1:11" x14ac:dyDescent="0.3">
      <c r="C257" s="10">
        <v>139</v>
      </c>
      <c r="D257" s="10">
        <v>1705162</v>
      </c>
      <c r="E257" s="10" t="s">
        <v>20</v>
      </c>
      <c r="F257" s="10">
        <v>0.1615</v>
      </c>
      <c r="G257" s="10">
        <v>0.83850000000000002</v>
      </c>
      <c r="H257" s="10" t="s">
        <v>31</v>
      </c>
      <c r="I257" s="10" t="b">
        <v>0</v>
      </c>
    </row>
    <row r="258" spans="1:11" x14ac:dyDescent="0.3">
      <c r="C258" s="10">
        <v>85</v>
      </c>
      <c r="D258" s="10">
        <v>1705100</v>
      </c>
      <c r="E258" s="10" t="s">
        <v>20</v>
      </c>
      <c r="F258" s="10">
        <v>0.16089999999999999</v>
      </c>
      <c r="G258" s="10">
        <v>0.83909999999999996</v>
      </c>
      <c r="H258" s="10" t="s">
        <v>52</v>
      </c>
      <c r="I258" s="10" t="b">
        <v>0</v>
      </c>
    </row>
    <row r="259" spans="1:11" x14ac:dyDescent="0.3">
      <c r="C259" s="10">
        <v>49</v>
      </c>
      <c r="D259" s="10">
        <v>1705057</v>
      </c>
      <c r="E259" s="10" t="s">
        <v>20</v>
      </c>
      <c r="F259" s="10">
        <v>0.1608</v>
      </c>
      <c r="G259" s="10">
        <v>0.83919999999999995</v>
      </c>
      <c r="H259" s="10" t="s">
        <v>52</v>
      </c>
      <c r="I259" s="10" t="b">
        <v>0</v>
      </c>
    </row>
    <row r="260" spans="1:11" x14ac:dyDescent="0.3">
      <c r="C260" s="10">
        <v>135</v>
      </c>
      <c r="D260" s="10">
        <v>1705158</v>
      </c>
      <c r="E260" s="10" t="s">
        <v>20</v>
      </c>
      <c r="F260" s="10">
        <v>0.1605</v>
      </c>
      <c r="G260" s="10">
        <v>0.83950000000000002</v>
      </c>
      <c r="H260" s="10" t="s">
        <v>31</v>
      </c>
      <c r="I260" s="10" t="b">
        <v>0</v>
      </c>
    </row>
    <row r="261" spans="1:11" x14ac:dyDescent="0.3">
      <c r="C261" s="10">
        <v>140</v>
      </c>
      <c r="D261" s="10">
        <v>1705163</v>
      </c>
      <c r="E261" s="10" t="s">
        <v>20</v>
      </c>
      <c r="F261" s="10">
        <v>0.16020000000000001</v>
      </c>
      <c r="G261" s="10">
        <v>0.83979999999999999</v>
      </c>
      <c r="H261" s="10" t="s">
        <v>38</v>
      </c>
      <c r="I261" s="10" t="b">
        <v>0</v>
      </c>
    </row>
    <row r="262" spans="1:11" x14ac:dyDescent="0.3">
      <c r="C262" s="10">
        <v>8</v>
      </c>
      <c r="D262" s="10">
        <v>1705009</v>
      </c>
      <c r="E262" s="10" t="s">
        <v>20</v>
      </c>
      <c r="F262" s="10">
        <v>0.1585</v>
      </c>
      <c r="G262" s="10">
        <v>0.84150000000000003</v>
      </c>
      <c r="H262" s="10" t="s">
        <v>46</v>
      </c>
      <c r="I262" s="10" t="b">
        <v>0</v>
      </c>
    </row>
    <row r="263" spans="1:11" x14ac:dyDescent="0.3">
      <c r="C263" s="10">
        <v>194</v>
      </c>
      <c r="D263" s="10">
        <v>1705231</v>
      </c>
      <c r="E263" s="10" t="s">
        <v>20</v>
      </c>
      <c r="F263" s="10">
        <v>0.157</v>
      </c>
      <c r="G263" s="10">
        <v>0.84299999999999997</v>
      </c>
      <c r="H263" s="10" t="s">
        <v>31</v>
      </c>
      <c r="I263" s="10" t="b">
        <v>0</v>
      </c>
    </row>
    <row r="264" spans="1:11" x14ac:dyDescent="0.3">
      <c r="C264" s="10">
        <v>261</v>
      </c>
      <c r="D264" s="10">
        <v>1706334</v>
      </c>
      <c r="E264" s="10" t="s">
        <v>20</v>
      </c>
      <c r="F264" s="10">
        <v>0.15640000000000001</v>
      </c>
      <c r="G264" s="10">
        <v>0.84360000000000002</v>
      </c>
      <c r="H264" s="10" t="s">
        <v>47</v>
      </c>
      <c r="I264" s="10" t="b">
        <v>0</v>
      </c>
    </row>
    <row r="265" spans="1:11" ht="18" x14ac:dyDescent="0.35">
      <c r="A265" s="20" t="s">
        <v>24</v>
      </c>
      <c r="C265" s="36">
        <v>35</v>
      </c>
      <c r="D265" s="36">
        <v>1706044</v>
      </c>
      <c r="E265" s="36" t="s">
        <v>20</v>
      </c>
      <c r="F265" s="36">
        <v>0.156</v>
      </c>
      <c r="G265" s="36">
        <v>0.84399999999999997</v>
      </c>
      <c r="H265" s="36" t="s">
        <v>19</v>
      </c>
      <c r="I265" s="36" t="b">
        <v>0</v>
      </c>
      <c r="K265" s="10" t="s">
        <v>78</v>
      </c>
    </row>
    <row r="266" spans="1:11" x14ac:dyDescent="0.3">
      <c r="C266" s="10">
        <v>115</v>
      </c>
      <c r="D266" s="10">
        <v>1706141</v>
      </c>
      <c r="E266" s="10" t="s">
        <v>20</v>
      </c>
      <c r="F266" s="10">
        <v>0.156</v>
      </c>
      <c r="G266" s="10">
        <v>0.84399999999999997</v>
      </c>
      <c r="H266" s="10" t="s">
        <v>31</v>
      </c>
      <c r="I266" s="10" t="b">
        <v>0</v>
      </c>
    </row>
    <row r="267" spans="1:11" x14ac:dyDescent="0.3">
      <c r="C267" s="10">
        <v>114</v>
      </c>
      <c r="D267" s="10">
        <v>1705134</v>
      </c>
      <c r="E267" s="10" t="s">
        <v>20</v>
      </c>
      <c r="F267" s="10">
        <v>0.15590000000000001</v>
      </c>
      <c r="G267" s="10">
        <v>0.84409999999999996</v>
      </c>
      <c r="H267" s="10" t="s">
        <v>31</v>
      </c>
      <c r="I267" s="10" t="b">
        <v>0</v>
      </c>
    </row>
    <row r="268" spans="1:11" x14ac:dyDescent="0.3">
      <c r="C268" s="10">
        <v>10</v>
      </c>
      <c r="D268" s="10">
        <v>1705011</v>
      </c>
      <c r="E268" s="10" t="s">
        <v>20</v>
      </c>
      <c r="F268" s="10">
        <v>0.1552</v>
      </c>
      <c r="G268" s="10">
        <v>0.8448</v>
      </c>
      <c r="H268" s="10" t="s">
        <v>46</v>
      </c>
      <c r="I268" s="10" t="b">
        <v>0</v>
      </c>
    </row>
    <row r="269" spans="1:11" x14ac:dyDescent="0.3">
      <c r="C269" s="10">
        <v>78</v>
      </c>
      <c r="D269" s="10">
        <v>1705093</v>
      </c>
      <c r="E269" s="10" t="s">
        <v>20</v>
      </c>
      <c r="F269" s="10">
        <v>0.15429999999999999</v>
      </c>
      <c r="G269" s="10">
        <v>0.84570000000000001</v>
      </c>
      <c r="H269" s="10" t="s">
        <v>31</v>
      </c>
      <c r="I269" s="10" t="b">
        <v>0</v>
      </c>
    </row>
    <row r="270" spans="1:11" x14ac:dyDescent="0.3">
      <c r="C270" s="10">
        <v>241</v>
      </c>
      <c r="D270" s="10">
        <v>1705299</v>
      </c>
      <c r="E270" s="10" t="s">
        <v>20</v>
      </c>
      <c r="F270" s="10">
        <v>0.1542</v>
      </c>
      <c r="G270" s="10">
        <v>0.8458</v>
      </c>
      <c r="H270" s="10" t="s">
        <v>31</v>
      </c>
      <c r="I270" s="10" t="b">
        <v>0</v>
      </c>
    </row>
    <row r="271" spans="1:11" x14ac:dyDescent="0.3">
      <c r="C271" s="10">
        <v>184</v>
      </c>
      <c r="D271" s="10">
        <v>1705220</v>
      </c>
      <c r="E271" s="10" t="s">
        <v>20</v>
      </c>
      <c r="F271" s="10">
        <v>0.15379999999999999</v>
      </c>
      <c r="G271" s="10">
        <v>0.84619999999999995</v>
      </c>
      <c r="H271" s="10" t="s">
        <v>31</v>
      </c>
      <c r="I271" s="10" t="b">
        <v>0</v>
      </c>
    </row>
    <row r="272" spans="1:11" x14ac:dyDescent="0.3">
      <c r="C272" s="10">
        <v>83</v>
      </c>
      <c r="D272" s="10">
        <v>1706103</v>
      </c>
      <c r="E272" s="10" t="s">
        <v>20</v>
      </c>
      <c r="F272" s="10">
        <v>0.15379999999999999</v>
      </c>
      <c r="G272" s="10">
        <v>0.84619999999999995</v>
      </c>
      <c r="H272" s="10" t="s">
        <v>31</v>
      </c>
      <c r="I272" s="10" t="b">
        <v>0</v>
      </c>
    </row>
    <row r="273" spans="3:9" x14ac:dyDescent="0.3">
      <c r="C273" s="10">
        <v>18</v>
      </c>
      <c r="D273" s="10">
        <v>1706025</v>
      </c>
      <c r="E273" s="10" t="s">
        <v>20</v>
      </c>
      <c r="F273" s="10">
        <v>0.1532</v>
      </c>
      <c r="G273" s="10">
        <v>0.8468</v>
      </c>
      <c r="H273" s="10" t="s">
        <v>52</v>
      </c>
      <c r="I273" s="10" t="b">
        <v>0</v>
      </c>
    </row>
    <row r="274" spans="3:9" x14ac:dyDescent="0.3">
      <c r="C274" s="10">
        <v>5</v>
      </c>
      <c r="D274" s="10">
        <v>1705005</v>
      </c>
      <c r="E274" s="10" t="s">
        <v>20</v>
      </c>
      <c r="F274" s="10">
        <v>0.14990000000000001</v>
      </c>
      <c r="G274" s="10">
        <v>0.85009999999999997</v>
      </c>
      <c r="H274" s="10" t="s">
        <v>31</v>
      </c>
      <c r="I274" s="10" t="b">
        <v>0</v>
      </c>
    </row>
    <row r="275" spans="3:9" x14ac:dyDescent="0.3">
      <c r="C275" s="10">
        <v>298</v>
      </c>
      <c r="D275" s="10">
        <v>1705398</v>
      </c>
      <c r="E275" s="10" t="s">
        <v>20</v>
      </c>
      <c r="F275" s="10">
        <v>0.14940000000000001</v>
      </c>
      <c r="G275" s="10">
        <v>0.85060000000000002</v>
      </c>
      <c r="H275" s="10" t="s">
        <v>41</v>
      </c>
      <c r="I275" s="10" t="b">
        <v>0</v>
      </c>
    </row>
    <row r="276" spans="3:9" x14ac:dyDescent="0.3">
      <c r="C276" s="10">
        <v>9</v>
      </c>
      <c r="D276" s="10">
        <v>1706014</v>
      </c>
      <c r="E276" s="10" t="s">
        <v>20</v>
      </c>
      <c r="F276" s="10">
        <v>0.14879999999999999</v>
      </c>
      <c r="G276" s="10">
        <v>0.85119999999999996</v>
      </c>
      <c r="H276" s="10" t="s">
        <v>31</v>
      </c>
      <c r="I276" s="10" t="b">
        <v>0</v>
      </c>
    </row>
    <row r="277" spans="3:9" x14ac:dyDescent="0.3">
      <c r="C277" s="10">
        <v>31</v>
      </c>
      <c r="D277" s="10">
        <v>1705035</v>
      </c>
      <c r="E277" s="10" t="s">
        <v>20</v>
      </c>
      <c r="F277" s="10">
        <v>0.14779999999999999</v>
      </c>
      <c r="G277" s="10">
        <v>0.85219999999999996</v>
      </c>
      <c r="H277" s="10" t="s">
        <v>31</v>
      </c>
      <c r="I277" s="10" t="b">
        <v>0</v>
      </c>
    </row>
    <row r="278" spans="3:9" x14ac:dyDescent="0.3">
      <c r="C278" s="10">
        <v>194</v>
      </c>
      <c r="D278" s="10">
        <v>1706230</v>
      </c>
      <c r="E278" s="10" t="s">
        <v>20</v>
      </c>
      <c r="F278" s="10">
        <v>0.14749999999999999</v>
      </c>
      <c r="G278" s="10">
        <v>0.85250000000000004</v>
      </c>
      <c r="H278" s="10" t="s">
        <v>38</v>
      </c>
      <c r="I278" s="10" t="b">
        <v>0</v>
      </c>
    </row>
    <row r="279" spans="3:9" x14ac:dyDescent="0.3">
      <c r="C279" s="10">
        <v>7</v>
      </c>
      <c r="D279" s="10">
        <v>1706012</v>
      </c>
      <c r="E279" s="10" t="s">
        <v>20</v>
      </c>
      <c r="F279" s="10">
        <v>0.1472</v>
      </c>
      <c r="G279" s="10">
        <v>0.8528</v>
      </c>
      <c r="H279" s="10" t="s">
        <v>31</v>
      </c>
      <c r="I279" s="10" t="b">
        <v>0</v>
      </c>
    </row>
    <row r="280" spans="3:9" x14ac:dyDescent="0.3">
      <c r="C280" s="10">
        <v>238</v>
      </c>
      <c r="D280" s="10">
        <v>1705294</v>
      </c>
      <c r="E280" s="10" t="s">
        <v>20</v>
      </c>
      <c r="F280" s="10">
        <v>0.1467</v>
      </c>
      <c r="G280" s="10">
        <v>0.85329999999999995</v>
      </c>
      <c r="H280" s="10" t="s">
        <v>31</v>
      </c>
      <c r="I280" s="10" t="b">
        <v>0</v>
      </c>
    </row>
    <row r="281" spans="3:9" x14ac:dyDescent="0.3">
      <c r="C281" s="10">
        <v>252</v>
      </c>
      <c r="D281" s="10">
        <v>1705315</v>
      </c>
      <c r="E281" s="10" t="s">
        <v>20</v>
      </c>
      <c r="F281" s="10">
        <v>0.1452</v>
      </c>
      <c r="G281" s="10">
        <v>0.8548</v>
      </c>
      <c r="H281" s="10" t="s">
        <v>45</v>
      </c>
      <c r="I281" s="10" t="b">
        <v>0</v>
      </c>
    </row>
    <row r="282" spans="3:9" x14ac:dyDescent="0.3">
      <c r="C282" s="10">
        <v>256</v>
      </c>
      <c r="D282" s="10">
        <v>1705320</v>
      </c>
      <c r="E282" s="10" t="s">
        <v>20</v>
      </c>
      <c r="F282" s="10">
        <v>0.1452</v>
      </c>
      <c r="G282" s="10">
        <v>0.8548</v>
      </c>
      <c r="H282" s="10" t="s">
        <v>31</v>
      </c>
      <c r="I282" s="10" t="b">
        <v>0</v>
      </c>
    </row>
    <row r="283" spans="3:9" x14ac:dyDescent="0.3">
      <c r="C283" s="10">
        <v>205</v>
      </c>
      <c r="D283" s="10">
        <v>1705244</v>
      </c>
      <c r="E283" s="10" t="s">
        <v>20</v>
      </c>
      <c r="F283" s="10">
        <v>0.14510000000000001</v>
      </c>
      <c r="G283" s="10">
        <v>0.85489999999999999</v>
      </c>
      <c r="H283" s="10" t="s">
        <v>31</v>
      </c>
      <c r="I283" s="10" t="b">
        <v>0</v>
      </c>
    </row>
    <row r="284" spans="3:9" x14ac:dyDescent="0.3">
      <c r="C284" s="10">
        <v>48</v>
      </c>
      <c r="D284" s="10">
        <v>1705053</v>
      </c>
      <c r="E284" s="10" t="s">
        <v>20</v>
      </c>
      <c r="F284" s="10">
        <v>0.14499999999999999</v>
      </c>
      <c r="G284" s="10">
        <v>0.85499999999999998</v>
      </c>
      <c r="H284" s="10" t="s">
        <v>31</v>
      </c>
      <c r="I284" s="10" t="b">
        <v>0</v>
      </c>
    </row>
    <row r="285" spans="3:9" x14ac:dyDescent="0.3">
      <c r="C285" s="10">
        <v>89</v>
      </c>
      <c r="D285" s="10">
        <v>1706109</v>
      </c>
      <c r="E285" s="10" t="s">
        <v>20</v>
      </c>
      <c r="F285" s="10">
        <v>0.14460000000000001</v>
      </c>
      <c r="G285" s="10">
        <v>0.85540000000000005</v>
      </c>
      <c r="H285" s="10" t="s">
        <v>31</v>
      </c>
      <c r="I285" s="10" t="b">
        <v>0</v>
      </c>
    </row>
    <row r="286" spans="3:9" x14ac:dyDescent="0.3">
      <c r="C286" s="10">
        <v>112</v>
      </c>
      <c r="D286" s="10">
        <v>1705132</v>
      </c>
      <c r="E286" s="10" t="s">
        <v>20</v>
      </c>
      <c r="F286" s="10">
        <v>0.14349999999999999</v>
      </c>
      <c r="G286" s="10">
        <v>0.85650000000000004</v>
      </c>
      <c r="H286" s="10" t="s">
        <v>31</v>
      </c>
      <c r="I286" s="10" t="b">
        <v>0</v>
      </c>
    </row>
    <row r="287" spans="3:9" x14ac:dyDescent="0.3">
      <c r="C287" s="10">
        <v>106</v>
      </c>
      <c r="D287" s="10">
        <v>1705126</v>
      </c>
      <c r="E287" s="10" t="s">
        <v>20</v>
      </c>
      <c r="F287" s="10">
        <v>0.14280000000000001</v>
      </c>
      <c r="G287" s="10">
        <v>0.85719999999999996</v>
      </c>
      <c r="H287" s="10" t="s">
        <v>31</v>
      </c>
      <c r="I287" s="10" t="b">
        <v>0</v>
      </c>
    </row>
    <row r="288" spans="3:9" x14ac:dyDescent="0.3">
      <c r="C288" s="10">
        <v>60</v>
      </c>
      <c r="D288" s="10">
        <v>1705068</v>
      </c>
      <c r="E288" s="10" t="s">
        <v>20</v>
      </c>
      <c r="F288" s="10">
        <v>0.14230000000000001</v>
      </c>
      <c r="G288" s="10">
        <v>0.85770000000000002</v>
      </c>
      <c r="H288" s="10" t="s">
        <v>31</v>
      </c>
      <c r="I288" s="10" t="b">
        <v>0</v>
      </c>
    </row>
    <row r="289" spans="3:9" x14ac:dyDescent="0.3">
      <c r="C289" s="10">
        <v>6</v>
      </c>
      <c r="D289" s="10">
        <v>1705007</v>
      </c>
      <c r="E289" s="10" t="s">
        <v>20</v>
      </c>
      <c r="F289" s="10">
        <v>0.14219999999999999</v>
      </c>
      <c r="G289" s="10">
        <v>0.85780000000000001</v>
      </c>
      <c r="H289" s="10" t="s">
        <v>31</v>
      </c>
      <c r="I289" s="10" t="b">
        <v>0</v>
      </c>
    </row>
    <row r="290" spans="3:9" x14ac:dyDescent="0.3">
      <c r="C290" s="10">
        <v>144</v>
      </c>
      <c r="D290" s="10">
        <v>1705167</v>
      </c>
      <c r="E290" s="10" t="s">
        <v>20</v>
      </c>
      <c r="F290" s="10">
        <v>0.14219999999999999</v>
      </c>
      <c r="G290" s="10">
        <v>0.85780000000000001</v>
      </c>
      <c r="H290" s="10" t="s">
        <v>31</v>
      </c>
      <c r="I290" s="10" t="b">
        <v>0</v>
      </c>
    </row>
    <row r="291" spans="3:9" x14ac:dyDescent="0.3">
      <c r="C291" s="10">
        <v>290</v>
      </c>
      <c r="D291" s="10">
        <v>1705389</v>
      </c>
      <c r="E291" s="10" t="s">
        <v>20</v>
      </c>
      <c r="F291" s="10">
        <v>0.1401</v>
      </c>
      <c r="G291" s="10">
        <v>0.8599</v>
      </c>
      <c r="H291" s="10" t="s">
        <v>31</v>
      </c>
      <c r="I291" s="10" t="b">
        <v>0</v>
      </c>
    </row>
    <row r="292" spans="3:9" x14ac:dyDescent="0.3">
      <c r="C292" s="10">
        <v>10</v>
      </c>
      <c r="D292" s="10">
        <v>1706015</v>
      </c>
      <c r="E292" s="10" t="s">
        <v>20</v>
      </c>
      <c r="F292" s="10">
        <v>0.1391</v>
      </c>
      <c r="G292" s="10">
        <v>0.8609</v>
      </c>
      <c r="H292" s="10" t="s">
        <v>47</v>
      </c>
      <c r="I292" s="10" t="b">
        <v>0</v>
      </c>
    </row>
    <row r="293" spans="3:9" x14ac:dyDescent="0.3">
      <c r="C293" s="10">
        <v>39</v>
      </c>
      <c r="D293" s="10">
        <v>1705043</v>
      </c>
      <c r="E293" s="10" t="s">
        <v>20</v>
      </c>
      <c r="F293" s="10">
        <v>0.13869999999999999</v>
      </c>
      <c r="G293" s="10">
        <v>0.86129999999999995</v>
      </c>
      <c r="H293" s="10" t="s">
        <v>31</v>
      </c>
      <c r="I293" s="10" t="b">
        <v>0</v>
      </c>
    </row>
    <row r="294" spans="3:9" x14ac:dyDescent="0.3">
      <c r="C294" s="10">
        <v>23</v>
      </c>
      <c r="D294" s="10">
        <v>1705024</v>
      </c>
      <c r="E294" s="10" t="s">
        <v>20</v>
      </c>
      <c r="F294" s="10">
        <v>0.13819999999999999</v>
      </c>
      <c r="G294" s="10">
        <v>0.86180000000000001</v>
      </c>
      <c r="H294" s="10" t="s">
        <v>46</v>
      </c>
      <c r="I294" s="10" t="b">
        <v>0</v>
      </c>
    </row>
    <row r="295" spans="3:9" x14ac:dyDescent="0.3">
      <c r="C295" s="10">
        <v>133</v>
      </c>
      <c r="D295" s="10">
        <v>1705156</v>
      </c>
      <c r="E295" s="10" t="s">
        <v>20</v>
      </c>
      <c r="F295" s="10">
        <v>0.1371</v>
      </c>
      <c r="G295" s="10">
        <v>0.8629</v>
      </c>
      <c r="H295" s="10" t="s">
        <v>31</v>
      </c>
      <c r="I295" s="10" t="b">
        <v>0</v>
      </c>
    </row>
    <row r="296" spans="3:9" x14ac:dyDescent="0.3">
      <c r="C296" s="10">
        <v>300</v>
      </c>
      <c r="D296" s="10">
        <v>1705406</v>
      </c>
      <c r="E296" s="10" t="s">
        <v>20</v>
      </c>
      <c r="F296" s="10">
        <v>0.13700000000000001</v>
      </c>
      <c r="G296" s="10">
        <v>0.86299999999999999</v>
      </c>
      <c r="H296" s="10" t="s">
        <v>31</v>
      </c>
      <c r="I296" s="10" t="b">
        <v>0</v>
      </c>
    </row>
    <row r="297" spans="3:9" x14ac:dyDescent="0.3">
      <c r="C297" s="10">
        <v>195</v>
      </c>
      <c r="D297" s="10">
        <v>1706231</v>
      </c>
      <c r="E297" s="10" t="s">
        <v>20</v>
      </c>
      <c r="F297" s="10">
        <v>0.13650000000000001</v>
      </c>
      <c r="G297" s="10">
        <v>0.86350000000000005</v>
      </c>
      <c r="H297" s="10" t="s">
        <v>31</v>
      </c>
      <c r="I297" s="10" t="b">
        <v>0</v>
      </c>
    </row>
    <row r="298" spans="3:9" x14ac:dyDescent="0.3">
      <c r="C298" s="10">
        <v>249</v>
      </c>
      <c r="D298" s="10">
        <v>1705311</v>
      </c>
      <c r="E298" s="10" t="s">
        <v>20</v>
      </c>
      <c r="F298" s="10">
        <v>0.13450000000000001</v>
      </c>
      <c r="G298" s="10">
        <v>0.86550000000000005</v>
      </c>
      <c r="H298" s="10" t="s">
        <v>45</v>
      </c>
      <c r="I298" s="10" t="b">
        <v>0</v>
      </c>
    </row>
    <row r="299" spans="3:9" x14ac:dyDescent="0.3">
      <c r="C299" s="10">
        <v>63</v>
      </c>
      <c r="D299" s="10">
        <v>1705071</v>
      </c>
      <c r="E299" s="10" t="s">
        <v>20</v>
      </c>
      <c r="F299" s="10">
        <v>0.13439999999999999</v>
      </c>
      <c r="G299" s="10">
        <v>0.86560000000000004</v>
      </c>
      <c r="H299" s="10" t="s">
        <v>31</v>
      </c>
      <c r="I299" s="10" t="b">
        <v>0</v>
      </c>
    </row>
    <row r="300" spans="3:9" x14ac:dyDescent="0.3">
      <c r="C300" s="10">
        <v>94</v>
      </c>
      <c r="D300" s="10">
        <v>1706115</v>
      </c>
      <c r="E300" s="10" t="s">
        <v>20</v>
      </c>
      <c r="F300" s="10">
        <v>0.13439999999999999</v>
      </c>
      <c r="G300" s="10">
        <v>0.86560000000000004</v>
      </c>
      <c r="H300" s="10" t="s">
        <v>31</v>
      </c>
      <c r="I300" s="10" t="b">
        <v>0</v>
      </c>
    </row>
    <row r="301" spans="3:9" x14ac:dyDescent="0.3">
      <c r="C301" s="10">
        <v>197</v>
      </c>
      <c r="D301" s="10">
        <v>1706233</v>
      </c>
      <c r="E301" s="10" t="s">
        <v>20</v>
      </c>
      <c r="F301" s="10">
        <v>0.13439999999999999</v>
      </c>
      <c r="G301" s="10">
        <v>0.86560000000000004</v>
      </c>
      <c r="H301" s="10" t="s">
        <v>31</v>
      </c>
      <c r="I301" s="10" t="b">
        <v>0</v>
      </c>
    </row>
    <row r="302" spans="3:9" x14ac:dyDescent="0.3">
      <c r="C302" s="10">
        <v>89</v>
      </c>
      <c r="D302" s="10">
        <v>1705105</v>
      </c>
      <c r="E302" s="10" t="s">
        <v>20</v>
      </c>
      <c r="F302" s="10">
        <v>0.13400000000000001</v>
      </c>
      <c r="G302" s="10">
        <v>0.86599999999999999</v>
      </c>
      <c r="H302" s="10" t="s">
        <v>38</v>
      </c>
      <c r="I302" s="10" t="b">
        <v>0</v>
      </c>
    </row>
    <row r="303" spans="3:9" x14ac:dyDescent="0.3">
      <c r="C303" s="10">
        <v>230</v>
      </c>
      <c r="D303" s="10">
        <v>1706291</v>
      </c>
      <c r="E303" s="10" t="s">
        <v>20</v>
      </c>
      <c r="F303" s="10">
        <v>0.13400000000000001</v>
      </c>
      <c r="G303" s="10">
        <v>0.86599999999999999</v>
      </c>
      <c r="H303" s="10" t="s">
        <v>38</v>
      </c>
      <c r="I303" s="10" t="b">
        <v>0</v>
      </c>
    </row>
    <row r="304" spans="3:9" x14ac:dyDescent="0.3">
      <c r="C304" s="10">
        <v>199</v>
      </c>
      <c r="D304" s="10">
        <v>1705236</v>
      </c>
      <c r="E304" s="10" t="s">
        <v>20</v>
      </c>
      <c r="F304" s="10">
        <v>0.1336</v>
      </c>
      <c r="G304" s="10">
        <v>0.86639999999999995</v>
      </c>
      <c r="H304" s="10" t="s">
        <v>38</v>
      </c>
      <c r="I304" s="10" t="b">
        <v>0</v>
      </c>
    </row>
    <row r="305" spans="3:9" x14ac:dyDescent="0.3">
      <c r="C305" s="10">
        <v>295</v>
      </c>
      <c r="D305" s="10">
        <v>1705395</v>
      </c>
      <c r="E305" s="10" t="s">
        <v>20</v>
      </c>
      <c r="F305" s="10">
        <v>0.1333</v>
      </c>
      <c r="G305" s="10">
        <v>0.86670000000000003</v>
      </c>
      <c r="H305" s="10" t="s">
        <v>52</v>
      </c>
      <c r="I305" s="10" t="b">
        <v>0</v>
      </c>
    </row>
    <row r="306" spans="3:9" x14ac:dyDescent="0.3">
      <c r="C306" s="10">
        <v>183</v>
      </c>
      <c r="D306" s="10">
        <v>1705219</v>
      </c>
      <c r="E306" s="10" t="s">
        <v>20</v>
      </c>
      <c r="F306" s="10">
        <v>0.1331</v>
      </c>
      <c r="G306" s="10">
        <v>0.8669</v>
      </c>
      <c r="H306" s="10" t="s">
        <v>31</v>
      </c>
      <c r="I306" s="10" t="b">
        <v>0</v>
      </c>
    </row>
    <row r="307" spans="3:9" x14ac:dyDescent="0.3">
      <c r="C307" s="10">
        <v>33</v>
      </c>
      <c r="D307" s="10">
        <v>1706042</v>
      </c>
      <c r="E307" s="10" t="s">
        <v>20</v>
      </c>
      <c r="F307" s="10">
        <v>0.13139999999999999</v>
      </c>
      <c r="G307" s="10">
        <v>0.86860000000000004</v>
      </c>
      <c r="H307" s="10" t="s">
        <v>38</v>
      </c>
      <c r="I307" s="10" t="b">
        <v>0</v>
      </c>
    </row>
    <row r="308" spans="3:9" x14ac:dyDescent="0.3">
      <c r="C308" s="10">
        <v>175</v>
      </c>
      <c r="D308" s="10">
        <v>1706209</v>
      </c>
      <c r="E308" s="10" t="s">
        <v>20</v>
      </c>
      <c r="F308" s="10">
        <v>0.13139999999999999</v>
      </c>
      <c r="G308" s="10">
        <v>0.86860000000000004</v>
      </c>
      <c r="H308" s="10" t="s">
        <v>38</v>
      </c>
      <c r="I308" s="10" t="b">
        <v>0</v>
      </c>
    </row>
    <row r="309" spans="3:9" x14ac:dyDescent="0.3">
      <c r="C309" s="10">
        <v>269</v>
      </c>
      <c r="D309" s="10">
        <v>1705339</v>
      </c>
      <c r="E309" s="10" t="s">
        <v>20</v>
      </c>
      <c r="F309" s="10">
        <v>0.13120000000000001</v>
      </c>
      <c r="G309" s="10">
        <v>0.86880000000000002</v>
      </c>
      <c r="H309" s="10" t="s">
        <v>31</v>
      </c>
      <c r="I309" s="10" t="b">
        <v>0</v>
      </c>
    </row>
    <row r="310" spans="3:9" x14ac:dyDescent="0.3">
      <c r="C310" s="10">
        <v>165</v>
      </c>
      <c r="D310" s="10">
        <v>1705196</v>
      </c>
      <c r="E310" s="10" t="s">
        <v>20</v>
      </c>
      <c r="F310" s="10">
        <v>0.13009999999999999</v>
      </c>
      <c r="G310" s="10">
        <v>0.86990000000000001</v>
      </c>
      <c r="H310" s="10" t="s">
        <v>38</v>
      </c>
      <c r="I310" s="10" t="b">
        <v>0</v>
      </c>
    </row>
    <row r="311" spans="3:9" x14ac:dyDescent="0.3">
      <c r="C311" s="10">
        <v>110</v>
      </c>
      <c r="D311" s="10">
        <v>1705130</v>
      </c>
      <c r="E311" s="10" t="s">
        <v>20</v>
      </c>
      <c r="F311" s="10">
        <v>0.13</v>
      </c>
      <c r="G311" s="10">
        <v>0.87</v>
      </c>
      <c r="H311" s="10" t="s">
        <v>31</v>
      </c>
      <c r="I311" s="10" t="b">
        <v>0</v>
      </c>
    </row>
    <row r="312" spans="3:9" x14ac:dyDescent="0.3">
      <c r="C312" s="10">
        <v>148</v>
      </c>
      <c r="D312" s="10">
        <v>1705171</v>
      </c>
      <c r="E312" s="10" t="s">
        <v>20</v>
      </c>
      <c r="F312" s="10">
        <v>0.13</v>
      </c>
      <c r="G312" s="10">
        <v>0.87</v>
      </c>
      <c r="H312" s="10" t="s">
        <v>31</v>
      </c>
      <c r="I312" s="10" t="b">
        <v>0</v>
      </c>
    </row>
    <row r="313" spans="3:9" x14ac:dyDescent="0.3">
      <c r="C313" s="10">
        <v>198</v>
      </c>
      <c r="D313" s="10">
        <v>1705235</v>
      </c>
      <c r="E313" s="10" t="s">
        <v>20</v>
      </c>
      <c r="F313" s="10">
        <v>0.13</v>
      </c>
      <c r="G313" s="10">
        <v>0.87</v>
      </c>
      <c r="H313" s="10" t="s">
        <v>38</v>
      </c>
      <c r="I313" s="10" t="b">
        <v>0</v>
      </c>
    </row>
    <row r="314" spans="3:9" x14ac:dyDescent="0.3">
      <c r="C314" s="10">
        <v>88</v>
      </c>
      <c r="D314" s="10">
        <v>1706108</v>
      </c>
      <c r="E314" s="10" t="s">
        <v>20</v>
      </c>
      <c r="F314" s="10">
        <v>0.1298</v>
      </c>
      <c r="G314" s="10">
        <v>0.87019999999999997</v>
      </c>
      <c r="H314" s="10" t="s">
        <v>31</v>
      </c>
      <c r="I314" s="10" t="b">
        <v>0</v>
      </c>
    </row>
    <row r="315" spans="3:9" x14ac:dyDescent="0.3">
      <c r="C315" s="10">
        <v>264</v>
      </c>
      <c r="D315" s="10">
        <v>1706337</v>
      </c>
      <c r="E315" s="10" t="s">
        <v>20</v>
      </c>
      <c r="F315" s="10">
        <v>0.12970000000000001</v>
      </c>
      <c r="G315" s="10">
        <v>0.87029999999999996</v>
      </c>
      <c r="H315" s="10" t="s">
        <v>31</v>
      </c>
      <c r="I315" s="10" t="b">
        <v>0</v>
      </c>
    </row>
    <row r="316" spans="3:9" x14ac:dyDescent="0.3">
      <c r="C316" s="10">
        <v>12</v>
      </c>
      <c r="D316" s="10">
        <v>1706017</v>
      </c>
      <c r="E316" s="10" t="s">
        <v>20</v>
      </c>
      <c r="F316" s="10">
        <v>0.12939999999999999</v>
      </c>
      <c r="G316" s="10">
        <v>0.87060000000000004</v>
      </c>
      <c r="H316" s="10" t="s">
        <v>55</v>
      </c>
      <c r="I316" s="10" t="b">
        <v>0</v>
      </c>
    </row>
    <row r="317" spans="3:9" x14ac:dyDescent="0.3">
      <c r="C317" s="10">
        <v>232</v>
      </c>
      <c r="D317" s="10">
        <v>1706293</v>
      </c>
      <c r="E317" s="10" t="s">
        <v>20</v>
      </c>
      <c r="F317" s="10">
        <v>0.12920000000000001</v>
      </c>
      <c r="G317" s="10">
        <v>0.87080000000000002</v>
      </c>
      <c r="H317" s="10" t="s">
        <v>38</v>
      </c>
      <c r="I317" s="10" t="b">
        <v>0</v>
      </c>
    </row>
    <row r="318" spans="3:9" x14ac:dyDescent="0.3">
      <c r="C318" s="10">
        <v>2</v>
      </c>
      <c r="D318" s="10">
        <v>1705002</v>
      </c>
      <c r="E318" s="10" t="s">
        <v>20</v>
      </c>
      <c r="F318" s="10">
        <v>0.129</v>
      </c>
      <c r="G318" s="10">
        <v>0.871</v>
      </c>
      <c r="H318" s="10" t="s">
        <v>45</v>
      </c>
      <c r="I318" s="10" t="b">
        <v>0</v>
      </c>
    </row>
    <row r="319" spans="3:9" x14ac:dyDescent="0.3">
      <c r="C319" s="10">
        <v>145</v>
      </c>
      <c r="D319" s="10">
        <v>1706177</v>
      </c>
      <c r="E319" s="10" t="s">
        <v>20</v>
      </c>
      <c r="F319" s="10">
        <v>0.12809999999999999</v>
      </c>
      <c r="G319" s="10">
        <v>0.87190000000000001</v>
      </c>
      <c r="H319" s="10" t="s">
        <v>47</v>
      </c>
      <c r="I319" s="10" t="b">
        <v>0</v>
      </c>
    </row>
    <row r="320" spans="3:9" x14ac:dyDescent="0.3">
      <c r="C320" s="10">
        <v>238</v>
      </c>
      <c r="D320" s="10">
        <v>1706302</v>
      </c>
      <c r="E320" s="10" t="s">
        <v>20</v>
      </c>
      <c r="F320" s="10">
        <v>0.12809999999999999</v>
      </c>
      <c r="G320" s="10">
        <v>0.87190000000000001</v>
      </c>
      <c r="H320" s="10" t="s">
        <v>38</v>
      </c>
      <c r="I320" s="10" t="b">
        <v>0</v>
      </c>
    </row>
    <row r="321" spans="3:9" x14ac:dyDescent="0.3">
      <c r="C321" s="10">
        <v>134</v>
      </c>
      <c r="D321" s="10">
        <v>1706163</v>
      </c>
      <c r="E321" s="10" t="s">
        <v>20</v>
      </c>
      <c r="F321" s="10">
        <v>0.12709999999999999</v>
      </c>
      <c r="G321" s="10">
        <v>0.87290000000000001</v>
      </c>
      <c r="H321" s="10" t="s">
        <v>38</v>
      </c>
      <c r="I321" s="10" t="b">
        <v>0</v>
      </c>
    </row>
    <row r="322" spans="3:9" x14ac:dyDescent="0.3">
      <c r="C322" s="10">
        <v>76</v>
      </c>
      <c r="D322" s="10">
        <v>1706096</v>
      </c>
      <c r="E322" s="10" t="s">
        <v>20</v>
      </c>
      <c r="F322" s="10">
        <v>0.1258</v>
      </c>
      <c r="G322" s="10">
        <v>0.87419999999999998</v>
      </c>
      <c r="H322" s="10" t="s">
        <v>31</v>
      </c>
      <c r="I322" s="10" t="b">
        <v>0</v>
      </c>
    </row>
    <row r="323" spans="3:9" x14ac:dyDescent="0.3">
      <c r="C323" s="10">
        <v>270</v>
      </c>
      <c r="D323" s="10">
        <v>1705341</v>
      </c>
      <c r="E323" s="10" t="s">
        <v>20</v>
      </c>
      <c r="F323" s="10">
        <v>0.12570000000000001</v>
      </c>
      <c r="G323" s="10">
        <v>0.87429999999999997</v>
      </c>
      <c r="H323" s="10" t="s">
        <v>31</v>
      </c>
      <c r="I323" s="10" t="b">
        <v>0</v>
      </c>
    </row>
    <row r="324" spans="3:9" x14ac:dyDescent="0.3">
      <c r="C324" s="10">
        <v>155</v>
      </c>
      <c r="D324" s="10">
        <v>1706188</v>
      </c>
      <c r="E324" s="10" t="s">
        <v>20</v>
      </c>
      <c r="F324" s="10">
        <v>0.12540000000000001</v>
      </c>
      <c r="G324" s="10">
        <v>0.87460000000000004</v>
      </c>
      <c r="H324" s="10" t="s">
        <v>38</v>
      </c>
      <c r="I324" s="10" t="b">
        <v>0</v>
      </c>
    </row>
    <row r="325" spans="3:9" x14ac:dyDescent="0.3">
      <c r="C325" s="10">
        <v>163</v>
      </c>
      <c r="D325" s="10">
        <v>1706197</v>
      </c>
      <c r="E325" s="10" t="s">
        <v>20</v>
      </c>
      <c r="F325" s="10">
        <v>0.12529999999999999</v>
      </c>
      <c r="G325" s="10">
        <v>0.87470000000000003</v>
      </c>
      <c r="H325" s="10" t="s">
        <v>31</v>
      </c>
      <c r="I325" s="10" t="b">
        <v>0</v>
      </c>
    </row>
    <row r="326" spans="3:9" x14ac:dyDescent="0.3">
      <c r="C326" s="10">
        <v>67</v>
      </c>
      <c r="D326" s="10">
        <v>1705076</v>
      </c>
      <c r="E326" s="10" t="s">
        <v>20</v>
      </c>
      <c r="F326" s="10">
        <v>0.12470000000000001</v>
      </c>
      <c r="G326" s="10">
        <v>0.87529999999999997</v>
      </c>
      <c r="H326" s="10" t="s">
        <v>33</v>
      </c>
      <c r="I326" s="10" t="b">
        <v>0</v>
      </c>
    </row>
    <row r="327" spans="3:9" x14ac:dyDescent="0.3">
      <c r="C327" s="10">
        <v>123</v>
      </c>
      <c r="D327" s="10">
        <v>1705144</v>
      </c>
      <c r="E327" s="10" t="s">
        <v>20</v>
      </c>
      <c r="F327" s="10">
        <v>0.1232</v>
      </c>
      <c r="G327" s="10">
        <v>0.87680000000000002</v>
      </c>
      <c r="H327" s="10" t="s">
        <v>31</v>
      </c>
      <c r="I327" s="10" t="b">
        <v>0</v>
      </c>
    </row>
    <row r="328" spans="3:9" x14ac:dyDescent="0.3">
      <c r="C328" s="10">
        <v>157</v>
      </c>
      <c r="D328" s="10">
        <v>1706190</v>
      </c>
      <c r="E328" s="10" t="s">
        <v>20</v>
      </c>
      <c r="F328" s="10">
        <v>0.12239999999999999</v>
      </c>
      <c r="G328" s="10">
        <v>0.87760000000000005</v>
      </c>
      <c r="H328" s="10" t="s">
        <v>31</v>
      </c>
      <c r="I328" s="10" t="b">
        <v>0</v>
      </c>
    </row>
    <row r="329" spans="3:9" x14ac:dyDescent="0.3">
      <c r="C329" s="10">
        <v>157</v>
      </c>
      <c r="D329" s="10">
        <v>1705183</v>
      </c>
      <c r="E329" s="10" t="s">
        <v>20</v>
      </c>
      <c r="F329" s="10">
        <v>0.12180000000000001</v>
      </c>
      <c r="G329" s="10">
        <v>0.87819999999999998</v>
      </c>
      <c r="H329" s="10" t="s">
        <v>31</v>
      </c>
      <c r="I329" s="10" t="b">
        <v>0</v>
      </c>
    </row>
    <row r="330" spans="3:9" x14ac:dyDescent="0.3">
      <c r="C330" s="10">
        <v>231</v>
      </c>
      <c r="D330" s="10">
        <v>1706292</v>
      </c>
      <c r="E330" s="10" t="s">
        <v>20</v>
      </c>
      <c r="F330" s="10">
        <v>0.12180000000000001</v>
      </c>
      <c r="G330" s="10">
        <v>0.87819999999999998</v>
      </c>
      <c r="H330" s="10" t="s">
        <v>38</v>
      </c>
      <c r="I330" s="10" t="b">
        <v>0</v>
      </c>
    </row>
    <row r="331" spans="3:9" x14ac:dyDescent="0.3">
      <c r="C331" s="10">
        <v>40</v>
      </c>
      <c r="D331" s="10">
        <v>1706053</v>
      </c>
      <c r="E331" s="10" t="s">
        <v>20</v>
      </c>
      <c r="F331" s="10">
        <v>0.1211</v>
      </c>
      <c r="G331" s="10">
        <v>0.87890000000000001</v>
      </c>
      <c r="H331" s="10" t="s">
        <v>38</v>
      </c>
      <c r="I331" s="10" t="b">
        <v>0</v>
      </c>
    </row>
    <row r="332" spans="3:9" x14ac:dyDescent="0.3">
      <c r="C332" s="10">
        <v>162</v>
      </c>
      <c r="D332" s="10">
        <v>1705188</v>
      </c>
      <c r="E332" s="10" t="s">
        <v>20</v>
      </c>
      <c r="F332" s="10">
        <v>0.1203</v>
      </c>
      <c r="G332" s="10">
        <v>0.87970000000000004</v>
      </c>
      <c r="H332" s="10" t="s">
        <v>31</v>
      </c>
      <c r="I332" s="10" t="b">
        <v>0</v>
      </c>
    </row>
    <row r="333" spans="3:9" x14ac:dyDescent="0.3">
      <c r="C333" s="10">
        <v>77</v>
      </c>
      <c r="D333" s="10">
        <v>1705092</v>
      </c>
      <c r="E333" s="10" t="s">
        <v>20</v>
      </c>
      <c r="F333" s="10">
        <v>0.1201</v>
      </c>
      <c r="G333" s="10">
        <v>0.87990000000000002</v>
      </c>
      <c r="H333" s="10" t="s">
        <v>31</v>
      </c>
      <c r="I333" s="10" t="b">
        <v>0</v>
      </c>
    </row>
    <row r="334" spans="3:9" x14ac:dyDescent="0.3">
      <c r="C334" s="10">
        <v>77</v>
      </c>
      <c r="D334" s="10">
        <v>1706097</v>
      </c>
      <c r="E334" s="10" t="s">
        <v>20</v>
      </c>
      <c r="F334" s="10">
        <v>0.1195</v>
      </c>
      <c r="G334" s="10">
        <v>0.88049999999999995</v>
      </c>
      <c r="H334" s="10" t="s">
        <v>38</v>
      </c>
      <c r="I334" s="10" t="b">
        <v>0</v>
      </c>
    </row>
    <row r="335" spans="3:9" x14ac:dyDescent="0.3">
      <c r="C335" s="10">
        <v>162</v>
      </c>
      <c r="D335" s="10">
        <v>1706196</v>
      </c>
      <c r="E335" s="10" t="s">
        <v>20</v>
      </c>
      <c r="F335" s="10">
        <v>0.1191</v>
      </c>
      <c r="G335" s="10">
        <v>0.88090000000000002</v>
      </c>
      <c r="H335" s="10" t="s">
        <v>38</v>
      </c>
      <c r="I335" s="10" t="b">
        <v>0</v>
      </c>
    </row>
    <row r="336" spans="3:9" x14ac:dyDescent="0.3">
      <c r="C336" s="10">
        <v>252</v>
      </c>
      <c r="D336" s="10">
        <v>1706320</v>
      </c>
      <c r="E336" s="10" t="s">
        <v>20</v>
      </c>
      <c r="F336" s="10">
        <v>0.1188</v>
      </c>
      <c r="G336" s="10">
        <v>0.88119999999999998</v>
      </c>
      <c r="H336" s="10" t="s">
        <v>41</v>
      </c>
      <c r="I336" s="10" t="b">
        <v>0</v>
      </c>
    </row>
    <row r="337" spans="3:9" x14ac:dyDescent="0.3">
      <c r="C337" s="10">
        <v>29</v>
      </c>
      <c r="D337" s="10">
        <v>1706037</v>
      </c>
      <c r="E337" s="10" t="s">
        <v>20</v>
      </c>
      <c r="F337" s="10">
        <v>0.11849999999999999</v>
      </c>
      <c r="G337" s="10">
        <v>0.88149999999999995</v>
      </c>
      <c r="H337" s="10" t="s">
        <v>46</v>
      </c>
      <c r="I337" s="10" t="b">
        <v>0</v>
      </c>
    </row>
    <row r="338" spans="3:9" x14ac:dyDescent="0.3">
      <c r="C338" s="10">
        <v>224</v>
      </c>
      <c r="D338" s="10">
        <v>1706278</v>
      </c>
      <c r="E338" s="10" t="s">
        <v>20</v>
      </c>
      <c r="F338" s="10">
        <v>0.11840000000000001</v>
      </c>
      <c r="G338" s="10">
        <v>0.88160000000000005</v>
      </c>
      <c r="H338" s="10" t="s">
        <v>31</v>
      </c>
      <c r="I338" s="10" t="b">
        <v>0</v>
      </c>
    </row>
    <row r="339" spans="3:9" x14ac:dyDescent="0.3">
      <c r="C339" s="10">
        <v>172</v>
      </c>
      <c r="D339" s="10">
        <v>1705207</v>
      </c>
      <c r="E339" s="10" t="s">
        <v>20</v>
      </c>
      <c r="F339" s="10">
        <v>0.1183</v>
      </c>
      <c r="G339" s="10">
        <v>0.88170000000000004</v>
      </c>
      <c r="H339" s="10" t="s">
        <v>33</v>
      </c>
      <c r="I339" s="10" t="b">
        <v>0</v>
      </c>
    </row>
    <row r="340" spans="3:9" x14ac:dyDescent="0.3">
      <c r="C340" s="10">
        <v>186</v>
      </c>
      <c r="D340" s="10">
        <v>1706220</v>
      </c>
      <c r="E340" s="10" t="s">
        <v>20</v>
      </c>
      <c r="F340" s="10">
        <v>0.1179</v>
      </c>
      <c r="G340" s="10">
        <v>0.8821</v>
      </c>
      <c r="H340" s="10" t="s">
        <v>46</v>
      </c>
      <c r="I340" s="10" t="b">
        <v>0</v>
      </c>
    </row>
    <row r="341" spans="3:9" x14ac:dyDescent="0.3">
      <c r="C341" s="10">
        <v>147</v>
      </c>
      <c r="D341" s="10">
        <v>1705170</v>
      </c>
      <c r="E341" s="10" t="s">
        <v>20</v>
      </c>
      <c r="F341" s="10">
        <v>0.11700000000000001</v>
      </c>
      <c r="G341" s="10">
        <v>0.88300000000000001</v>
      </c>
      <c r="H341" s="10" t="s">
        <v>31</v>
      </c>
      <c r="I341" s="10" t="b">
        <v>0</v>
      </c>
    </row>
    <row r="342" spans="3:9" x14ac:dyDescent="0.3">
      <c r="C342" s="10">
        <v>176</v>
      </c>
      <c r="D342" s="10">
        <v>1705211</v>
      </c>
      <c r="E342" s="10" t="s">
        <v>20</v>
      </c>
      <c r="F342" s="10">
        <v>0.1166</v>
      </c>
      <c r="G342" s="10">
        <v>0.88339999999999996</v>
      </c>
      <c r="H342" s="10" t="s">
        <v>31</v>
      </c>
      <c r="I342" s="10" t="b">
        <v>0</v>
      </c>
    </row>
    <row r="343" spans="3:9" x14ac:dyDescent="0.3">
      <c r="C343" s="10">
        <v>80</v>
      </c>
      <c r="D343" s="10">
        <v>1706100</v>
      </c>
      <c r="E343" s="10" t="s">
        <v>20</v>
      </c>
      <c r="F343" s="10">
        <v>0.1166</v>
      </c>
      <c r="G343" s="10">
        <v>0.88339999999999996</v>
      </c>
      <c r="H343" s="10" t="s">
        <v>31</v>
      </c>
      <c r="I343" s="10" t="b">
        <v>0</v>
      </c>
    </row>
    <row r="344" spans="3:9" x14ac:dyDescent="0.3">
      <c r="C344" s="10">
        <v>136</v>
      </c>
      <c r="D344" s="10">
        <v>1706166</v>
      </c>
      <c r="E344" s="10" t="s">
        <v>20</v>
      </c>
      <c r="F344" s="10">
        <v>0.11509999999999999</v>
      </c>
      <c r="G344" s="10">
        <v>0.88490000000000002</v>
      </c>
      <c r="H344" s="10" t="s">
        <v>38</v>
      </c>
      <c r="I344" s="10" t="b">
        <v>0</v>
      </c>
    </row>
    <row r="345" spans="3:9" x14ac:dyDescent="0.3">
      <c r="C345" s="10">
        <v>15</v>
      </c>
      <c r="D345" s="10">
        <v>1706021</v>
      </c>
      <c r="E345" s="10" t="s">
        <v>20</v>
      </c>
      <c r="F345" s="10">
        <v>0.11459999999999999</v>
      </c>
      <c r="G345" s="10">
        <v>0.88539999999999996</v>
      </c>
      <c r="H345" s="10" t="s">
        <v>31</v>
      </c>
      <c r="I345" s="10" t="b">
        <v>0</v>
      </c>
    </row>
    <row r="346" spans="3:9" x14ac:dyDescent="0.3">
      <c r="C346" s="10">
        <v>224</v>
      </c>
      <c r="D346" s="10">
        <v>1705266</v>
      </c>
      <c r="E346" s="10" t="s">
        <v>20</v>
      </c>
      <c r="F346" s="10">
        <v>0.1144</v>
      </c>
      <c r="G346" s="10">
        <v>0.88560000000000005</v>
      </c>
      <c r="H346" s="10" t="s">
        <v>38</v>
      </c>
      <c r="I346" s="10" t="b">
        <v>0</v>
      </c>
    </row>
    <row r="347" spans="3:9" x14ac:dyDescent="0.3">
      <c r="C347" s="10">
        <v>213</v>
      </c>
      <c r="D347" s="10">
        <v>1706260</v>
      </c>
      <c r="E347" s="10" t="s">
        <v>20</v>
      </c>
      <c r="F347" s="10">
        <v>0.1137</v>
      </c>
      <c r="G347" s="10">
        <v>0.88629999999999998</v>
      </c>
      <c r="H347" s="10" t="s">
        <v>31</v>
      </c>
      <c r="I347" s="10" t="b">
        <v>0</v>
      </c>
    </row>
    <row r="348" spans="3:9" x14ac:dyDescent="0.3">
      <c r="C348" s="10">
        <v>6</v>
      </c>
      <c r="D348" s="10">
        <v>1706011</v>
      </c>
      <c r="E348" s="10" t="s">
        <v>20</v>
      </c>
      <c r="F348" s="10">
        <v>0.11310000000000001</v>
      </c>
      <c r="G348" s="10">
        <v>0.88690000000000002</v>
      </c>
      <c r="H348" s="10" t="s">
        <v>38</v>
      </c>
      <c r="I348" s="10" t="b">
        <v>0</v>
      </c>
    </row>
    <row r="349" spans="3:9" x14ac:dyDescent="0.3">
      <c r="C349" s="10">
        <v>130</v>
      </c>
      <c r="D349" s="10">
        <v>1706157</v>
      </c>
      <c r="E349" s="10" t="s">
        <v>20</v>
      </c>
      <c r="F349" s="10">
        <v>0.11310000000000001</v>
      </c>
      <c r="G349" s="10">
        <v>0.88690000000000002</v>
      </c>
      <c r="H349" s="10" t="s">
        <v>38</v>
      </c>
      <c r="I349" s="10" t="b">
        <v>0</v>
      </c>
    </row>
    <row r="350" spans="3:9" x14ac:dyDescent="0.3">
      <c r="C350" s="10">
        <v>281</v>
      </c>
      <c r="D350" s="10">
        <v>1705368</v>
      </c>
      <c r="E350" s="10" t="s">
        <v>20</v>
      </c>
      <c r="F350" s="10">
        <v>0.1118</v>
      </c>
      <c r="G350" s="10">
        <v>0.88819999999999999</v>
      </c>
      <c r="H350" s="10" t="s">
        <v>31</v>
      </c>
      <c r="I350" s="10" t="b">
        <v>0</v>
      </c>
    </row>
    <row r="351" spans="3:9" x14ac:dyDescent="0.3">
      <c r="C351" s="10">
        <v>106</v>
      </c>
      <c r="D351" s="10">
        <v>1706128</v>
      </c>
      <c r="E351" s="10" t="s">
        <v>20</v>
      </c>
      <c r="F351" s="10">
        <v>0.1118</v>
      </c>
      <c r="G351" s="10">
        <v>0.88819999999999999</v>
      </c>
      <c r="H351" s="10" t="s">
        <v>31</v>
      </c>
      <c r="I351" s="10" t="b">
        <v>0</v>
      </c>
    </row>
    <row r="352" spans="3:9" x14ac:dyDescent="0.3">
      <c r="C352" s="10">
        <v>190</v>
      </c>
      <c r="D352" s="10">
        <v>1706225</v>
      </c>
      <c r="E352" s="10" t="s">
        <v>20</v>
      </c>
      <c r="F352" s="10">
        <v>0.1111</v>
      </c>
      <c r="G352" s="10">
        <v>0.88890000000000002</v>
      </c>
      <c r="H352" s="10" t="s">
        <v>31</v>
      </c>
      <c r="I352" s="10" t="b">
        <v>0</v>
      </c>
    </row>
    <row r="353" spans="3:9" x14ac:dyDescent="0.3">
      <c r="C353" s="10">
        <v>112</v>
      </c>
      <c r="D353" s="10">
        <v>1706137</v>
      </c>
      <c r="E353" s="10" t="s">
        <v>20</v>
      </c>
      <c r="F353" s="10">
        <v>0.11020000000000001</v>
      </c>
      <c r="G353" s="10">
        <v>0.88980000000000004</v>
      </c>
      <c r="H353" s="10" t="s">
        <v>31</v>
      </c>
      <c r="I353" s="10" t="b">
        <v>0</v>
      </c>
    </row>
    <row r="354" spans="3:9" x14ac:dyDescent="0.3">
      <c r="C354" s="10">
        <v>156</v>
      </c>
      <c r="D354" s="10">
        <v>1706189</v>
      </c>
      <c r="E354" s="10" t="s">
        <v>20</v>
      </c>
      <c r="F354" s="10">
        <v>0.11</v>
      </c>
      <c r="G354" s="10">
        <v>0.89</v>
      </c>
      <c r="H354" s="10" t="s">
        <v>31</v>
      </c>
      <c r="I354" s="10" t="b">
        <v>0</v>
      </c>
    </row>
    <row r="355" spans="3:9" x14ac:dyDescent="0.3">
      <c r="C355" s="10">
        <v>204</v>
      </c>
      <c r="D355" s="10">
        <v>1705242</v>
      </c>
      <c r="E355" s="10" t="s">
        <v>20</v>
      </c>
      <c r="F355" s="10">
        <v>0.1096</v>
      </c>
      <c r="G355" s="10">
        <v>0.89039999999999997</v>
      </c>
      <c r="H355" s="10" t="s">
        <v>31</v>
      </c>
      <c r="I355" s="10" t="b">
        <v>0</v>
      </c>
    </row>
    <row r="356" spans="3:9" x14ac:dyDescent="0.3">
      <c r="C356" s="10">
        <v>45</v>
      </c>
      <c r="D356" s="10">
        <v>1705049</v>
      </c>
      <c r="E356" s="10" t="s">
        <v>20</v>
      </c>
      <c r="F356" s="10">
        <v>0.10929999999999999</v>
      </c>
      <c r="G356" s="10">
        <v>0.89070000000000005</v>
      </c>
      <c r="H356" s="10" t="s">
        <v>31</v>
      </c>
      <c r="I356" s="10" t="b">
        <v>0</v>
      </c>
    </row>
    <row r="357" spans="3:9" x14ac:dyDescent="0.3">
      <c r="C357" s="10">
        <v>19</v>
      </c>
      <c r="D357" s="10">
        <v>1706026</v>
      </c>
      <c r="E357" s="10" t="s">
        <v>20</v>
      </c>
      <c r="F357" s="10">
        <v>0.1091</v>
      </c>
      <c r="G357" s="10">
        <v>0.89090000000000003</v>
      </c>
      <c r="H357" s="10" t="s">
        <v>31</v>
      </c>
      <c r="I357" s="10" t="b">
        <v>0</v>
      </c>
    </row>
    <row r="358" spans="3:9" x14ac:dyDescent="0.3">
      <c r="C358" s="10">
        <v>274</v>
      </c>
      <c r="D358" s="10">
        <v>1705350</v>
      </c>
      <c r="E358" s="10" t="s">
        <v>20</v>
      </c>
      <c r="F358" s="10">
        <v>0.1085</v>
      </c>
      <c r="G358" s="10">
        <v>0.89149999999999996</v>
      </c>
      <c r="H358" s="10" t="s">
        <v>31</v>
      </c>
      <c r="I358" s="10" t="b">
        <v>0</v>
      </c>
    </row>
    <row r="359" spans="3:9" x14ac:dyDescent="0.3">
      <c r="C359" s="10">
        <v>146</v>
      </c>
      <c r="D359" s="10">
        <v>1705169</v>
      </c>
      <c r="E359" s="10" t="s">
        <v>20</v>
      </c>
      <c r="F359" s="10">
        <v>0.1079</v>
      </c>
      <c r="G359" s="10">
        <v>0.8921</v>
      </c>
      <c r="H359" s="10" t="s">
        <v>31</v>
      </c>
      <c r="I359" s="10" t="b">
        <v>0</v>
      </c>
    </row>
    <row r="360" spans="3:9" x14ac:dyDescent="0.3">
      <c r="C360" s="10">
        <v>201</v>
      </c>
      <c r="D360" s="10">
        <v>1705238</v>
      </c>
      <c r="E360" s="10" t="s">
        <v>20</v>
      </c>
      <c r="F360" s="10">
        <v>0.10780000000000001</v>
      </c>
      <c r="G360" s="10">
        <v>0.89219999999999999</v>
      </c>
      <c r="H360" s="10" t="s">
        <v>45</v>
      </c>
      <c r="I360" s="10" t="b">
        <v>0</v>
      </c>
    </row>
    <row r="361" spans="3:9" x14ac:dyDescent="0.3">
      <c r="C361" s="10">
        <v>237</v>
      </c>
      <c r="D361" s="10">
        <v>1706299</v>
      </c>
      <c r="E361" s="10" t="s">
        <v>20</v>
      </c>
      <c r="F361" s="10">
        <v>0.1077</v>
      </c>
      <c r="G361" s="10">
        <v>0.89229999999999998</v>
      </c>
      <c r="H361" s="10" t="s">
        <v>38</v>
      </c>
      <c r="I361" s="10" t="b">
        <v>0</v>
      </c>
    </row>
    <row r="362" spans="3:9" x14ac:dyDescent="0.3">
      <c r="C362" s="10">
        <v>37</v>
      </c>
      <c r="D362" s="10">
        <v>1705041</v>
      </c>
      <c r="E362" s="10" t="s">
        <v>20</v>
      </c>
      <c r="F362" s="10">
        <v>0.1076</v>
      </c>
      <c r="G362" s="10">
        <v>0.89239999999999997</v>
      </c>
      <c r="H362" s="10" t="s">
        <v>31</v>
      </c>
      <c r="I362" s="10" t="b">
        <v>0</v>
      </c>
    </row>
    <row r="363" spans="3:9" x14ac:dyDescent="0.3">
      <c r="C363" s="10">
        <v>47</v>
      </c>
      <c r="D363" s="10">
        <v>1705051</v>
      </c>
      <c r="E363" s="10" t="s">
        <v>20</v>
      </c>
      <c r="F363" s="10">
        <v>0.1075</v>
      </c>
      <c r="G363" s="10">
        <v>0.89249999999999996</v>
      </c>
      <c r="H363" s="10" t="s">
        <v>31</v>
      </c>
      <c r="I363" s="10" t="b">
        <v>0</v>
      </c>
    </row>
    <row r="364" spans="3:9" x14ac:dyDescent="0.3">
      <c r="C364" s="10">
        <v>260</v>
      </c>
      <c r="D364" s="10">
        <v>1706333</v>
      </c>
      <c r="E364" s="10" t="s">
        <v>20</v>
      </c>
      <c r="F364" s="10">
        <v>0.10680000000000001</v>
      </c>
      <c r="G364" s="10">
        <v>0.89319999999999999</v>
      </c>
      <c r="H364" s="10" t="s">
        <v>31</v>
      </c>
      <c r="I364" s="10" t="b">
        <v>0</v>
      </c>
    </row>
    <row r="365" spans="3:9" x14ac:dyDescent="0.3">
      <c r="C365" s="10">
        <v>216</v>
      </c>
      <c r="D365" s="10">
        <v>1705257</v>
      </c>
      <c r="E365" s="10" t="s">
        <v>20</v>
      </c>
      <c r="F365" s="10">
        <v>0.1067</v>
      </c>
      <c r="G365" s="10">
        <v>0.89329999999999998</v>
      </c>
      <c r="H365" s="10" t="s">
        <v>38</v>
      </c>
      <c r="I365" s="10" t="b">
        <v>0</v>
      </c>
    </row>
    <row r="366" spans="3:9" x14ac:dyDescent="0.3">
      <c r="C366" s="10">
        <v>123</v>
      </c>
      <c r="D366" s="10">
        <v>1706150</v>
      </c>
      <c r="E366" s="10" t="s">
        <v>20</v>
      </c>
      <c r="F366" s="10">
        <v>0.1067</v>
      </c>
      <c r="G366" s="10">
        <v>0.89329999999999998</v>
      </c>
      <c r="H366" s="10" t="s">
        <v>46</v>
      </c>
      <c r="I366" s="10" t="b">
        <v>0</v>
      </c>
    </row>
    <row r="367" spans="3:9" x14ac:dyDescent="0.3">
      <c r="C367" s="10">
        <v>56</v>
      </c>
      <c r="D367" s="10">
        <v>1705064</v>
      </c>
      <c r="E367" s="10" t="s">
        <v>20</v>
      </c>
      <c r="F367" s="10">
        <v>0.1066</v>
      </c>
      <c r="G367" s="10">
        <v>0.89339999999999997</v>
      </c>
      <c r="H367" s="10" t="s">
        <v>31</v>
      </c>
      <c r="I367" s="10" t="b">
        <v>0</v>
      </c>
    </row>
    <row r="368" spans="3:9" x14ac:dyDescent="0.3">
      <c r="C368" s="10">
        <v>215</v>
      </c>
      <c r="D368" s="10">
        <v>1705256</v>
      </c>
      <c r="E368" s="10" t="s">
        <v>20</v>
      </c>
      <c r="F368" s="10">
        <v>0.1066</v>
      </c>
      <c r="G368" s="10">
        <v>0.89339999999999997</v>
      </c>
      <c r="H368" s="10" t="s">
        <v>38</v>
      </c>
      <c r="I368" s="10" t="b">
        <v>0</v>
      </c>
    </row>
    <row r="369" spans="3:9" x14ac:dyDescent="0.3">
      <c r="C369" s="10">
        <v>260</v>
      </c>
      <c r="D369" s="10">
        <v>1705325</v>
      </c>
      <c r="E369" s="10" t="s">
        <v>20</v>
      </c>
      <c r="F369" s="10">
        <v>0.10589999999999999</v>
      </c>
      <c r="G369" s="10">
        <v>0.89410000000000001</v>
      </c>
      <c r="H369" s="10" t="s">
        <v>31</v>
      </c>
      <c r="I369" s="10" t="b">
        <v>0</v>
      </c>
    </row>
    <row r="370" spans="3:9" x14ac:dyDescent="0.3">
      <c r="C370" s="10">
        <v>100</v>
      </c>
      <c r="D370" s="10">
        <v>1705117</v>
      </c>
      <c r="E370" s="10" t="s">
        <v>20</v>
      </c>
      <c r="F370" s="10">
        <v>0.1056</v>
      </c>
      <c r="G370" s="10">
        <v>0.89439999999999997</v>
      </c>
      <c r="H370" s="10" t="s">
        <v>31</v>
      </c>
      <c r="I370" s="10" t="b">
        <v>0</v>
      </c>
    </row>
    <row r="371" spans="3:9" x14ac:dyDescent="0.3">
      <c r="C371" s="10">
        <v>41</v>
      </c>
      <c r="D371" s="10">
        <v>1705045</v>
      </c>
      <c r="E371" s="10" t="s">
        <v>20</v>
      </c>
      <c r="F371" s="10">
        <v>0.1055</v>
      </c>
      <c r="G371" s="10">
        <v>0.89449999999999996</v>
      </c>
      <c r="H371" s="10" t="s">
        <v>31</v>
      </c>
      <c r="I371" s="10" t="b">
        <v>0</v>
      </c>
    </row>
    <row r="372" spans="3:9" x14ac:dyDescent="0.3">
      <c r="C372" s="10">
        <v>191</v>
      </c>
      <c r="D372" s="10">
        <v>1705228</v>
      </c>
      <c r="E372" s="10" t="s">
        <v>20</v>
      </c>
      <c r="F372" s="10">
        <v>0.1053</v>
      </c>
      <c r="G372" s="10">
        <v>0.89470000000000005</v>
      </c>
      <c r="H372" s="10" t="s">
        <v>31</v>
      </c>
      <c r="I372" s="10" t="b">
        <v>0</v>
      </c>
    </row>
    <row r="373" spans="3:9" x14ac:dyDescent="0.3">
      <c r="C373" s="10">
        <v>136</v>
      </c>
      <c r="D373" s="10">
        <v>1705159</v>
      </c>
      <c r="E373" s="10" t="s">
        <v>20</v>
      </c>
      <c r="F373" s="10">
        <v>0.1042</v>
      </c>
      <c r="G373" s="10">
        <v>0.89580000000000004</v>
      </c>
      <c r="H373" s="10" t="s">
        <v>31</v>
      </c>
      <c r="I373" s="10" t="b">
        <v>0</v>
      </c>
    </row>
    <row r="374" spans="3:9" x14ac:dyDescent="0.3">
      <c r="C374" s="10">
        <v>152</v>
      </c>
      <c r="D374" s="10">
        <v>1706185</v>
      </c>
      <c r="E374" s="10" t="s">
        <v>20</v>
      </c>
      <c r="F374" s="10">
        <v>0.104</v>
      </c>
      <c r="G374" s="10">
        <v>0.89600000000000002</v>
      </c>
      <c r="H374" s="10" t="s">
        <v>38</v>
      </c>
      <c r="I374" s="10" t="b">
        <v>0</v>
      </c>
    </row>
    <row r="375" spans="3:9" x14ac:dyDescent="0.3">
      <c r="C375" s="10">
        <v>296</v>
      </c>
      <c r="D375" s="10">
        <v>1705396</v>
      </c>
      <c r="E375" s="10" t="s">
        <v>20</v>
      </c>
      <c r="F375" s="10">
        <v>0.1037</v>
      </c>
      <c r="G375" s="10">
        <v>0.89629999999999999</v>
      </c>
      <c r="H375" s="10" t="s">
        <v>31</v>
      </c>
      <c r="I375" s="10" t="b">
        <v>0</v>
      </c>
    </row>
    <row r="376" spans="3:9" x14ac:dyDescent="0.3">
      <c r="C376" s="10">
        <v>185</v>
      </c>
      <c r="D376" s="10">
        <v>1705221</v>
      </c>
      <c r="E376" s="10" t="s">
        <v>20</v>
      </c>
      <c r="F376" s="10">
        <v>0.1028</v>
      </c>
      <c r="G376" s="10">
        <v>0.8972</v>
      </c>
      <c r="H376" s="10" t="s">
        <v>38</v>
      </c>
      <c r="I376" s="10" t="b">
        <v>0</v>
      </c>
    </row>
    <row r="377" spans="3:9" x14ac:dyDescent="0.3">
      <c r="C377" s="10">
        <v>220</v>
      </c>
      <c r="D377" s="10">
        <v>1706274</v>
      </c>
      <c r="E377" s="10" t="s">
        <v>20</v>
      </c>
      <c r="F377" s="10">
        <v>0.1023</v>
      </c>
      <c r="G377" s="10">
        <v>0.89770000000000005</v>
      </c>
      <c r="H377" s="10" t="s">
        <v>31</v>
      </c>
      <c r="I377" s="10" t="b">
        <v>0</v>
      </c>
    </row>
    <row r="378" spans="3:9" x14ac:dyDescent="0.3">
      <c r="C378" s="10">
        <v>277</v>
      </c>
      <c r="D378" s="10">
        <v>1705362</v>
      </c>
      <c r="E378" s="10" t="s">
        <v>20</v>
      </c>
      <c r="F378" s="10">
        <v>0.10050000000000001</v>
      </c>
      <c r="G378" s="10">
        <v>0.89949999999999997</v>
      </c>
      <c r="H378" s="10" t="s">
        <v>38</v>
      </c>
      <c r="I378" s="10" t="b">
        <v>0</v>
      </c>
    </row>
    <row r="379" spans="3:9" x14ac:dyDescent="0.3">
      <c r="C379" s="10">
        <v>26</v>
      </c>
      <c r="D379" s="10">
        <v>1705029</v>
      </c>
      <c r="E379" s="10" t="s">
        <v>20</v>
      </c>
      <c r="F379" s="10">
        <v>0.1004</v>
      </c>
      <c r="G379" s="10">
        <v>0.89959999999999996</v>
      </c>
      <c r="H379" s="10" t="s">
        <v>31</v>
      </c>
      <c r="I379" s="10" t="b">
        <v>0</v>
      </c>
    </row>
    <row r="380" spans="3:9" x14ac:dyDescent="0.3">
      <c r="C380" s="10">
        <v>60</v>
      </c>
      <c r="D380" s="10">
        <v>1706073</v>
      </c>
      <c r="E380" s="10" t="s">
        <v>20</v>
      </c>
      <c r="F380" s="10">
        <v>9.9599999999999994E-2</v>
      </c>
      <c r="G380" s="10">
        <v>0.90039999999999998</v>
      </c>
      <c r="H380" s="10" t="s">
        <v>38</v>
      </c>
      <c r="I380" s="10" t="b">
        <v>0</v>
      </c>
    </row>
    <row r="381" spans="3:9" x14ac:dyDescent="0.3">
      <c r="C381" s="10">
        <v>172</v>
      </c>
      <c r="D381" s="10">
        <v>1706206</v>
      </c>
      <c r="E381" s="10" t="s">
        <v>20</v>
      </c>
      <c r="F381" s="10">
        <v>9.9199999999999997E-2</v>
      </c>
      <c r="G381" s="10">
        <v>0.90080000000000005</v>
      </c>
      <c r="H381" s="10" t="s">
        <v>33</v>
      </c>
      <c r="I381" s="10" t="b">
        <v>0</v>
      </c>
    </row>
    <row r="382" spans="3:9" x14ac:dyDescent="0.3">
      <c r="C382" s="10">
        <v>142</v>
      </c>
      <c r="D382" s="10">
        <v>1706174</v>
      </c>
      <c r="E382" s="10" t="s">
        <v>20</v>
      </c>
      <c r="F382" s="10">
        <v>9.8900000000000002E-2</v>
      </c>
      <c r="G382" s="10">
        <v>0.90110000000000001</v>
      </c>
      <c r="H382" s="10" t="s">
        <v>38</v>
      </c>
      <c r="I382" s="10" t="b">
        <v>0</v>
      </c>
    </row>
    <row r="383" spans="3:9" x14ac:dyDescent="0.3">
      <c r="C383" s="10">
        <v>46</v>
      </c>
      <c r="D383" s="10">
        <v>1705050</v>
      </c>
      <c r="E383" s="10" t="s">
        <v>20</v>
      </c>
      <c r="F383" s="10">
        <v>9.8799999999999999E-2</v>
      </c>
      <c r="G383" s="10">
        <v>0.9012</v>
      </c>
      <c r="H383" s="10" t="s">
        <v>31</v>
      </c>
      <c r="I383" s="10" t="b">
        <v>0</v>
      </c>
    </row>
    <row r="384" spans="3:9" x14ac:dyDescent="0.3">
      <c r="C384" s="10">
        <v>276</v>
      </c>
      <c r="D384" s="10">
        <v>1705354</v>
      </c>
      <c r="E384" s="10" t="s">
        <v>20</v>
      </c>
      <c r="F384" s="10">
        <v>9.8799999999999999E-2</v>
      </c>
      <c r="G384" s="10">
        <v>0.9012</v>
      </c>
      <c r="H384" s="10" t="s">
        <v>31</v>
      </c>
      <c r="I384" s="10" t="b">
        <v>0</v>
      </c>
    </row>
    <row r="385" spans="3:9" x14ac:dyDescent="0.3">
      <c r="C385" s="10">
        <v>61</v>
      </c>
      <c r="D385" s="10">
        <v>1706075</v>
      </c>
      <c r="E385" s="10" t="s">
        <v>20</v>
      </c>
      <c r="F385" s="10">
        <v>9.8799999999999999E-2</v>
      </c>
      <c r="G385" s="10">
        <v>0.9012</v>
      </c>
      <c r="H385" s="10" t="s">
        <v>31</v>
      </c>
      <c r="I385" s="10" t="b">
        <v>0</v>
      </c>
    </row>
    <row r="386" spans="3:9" x14ac:dyDescent="0.3">
      <c r="C386" s="10">
        <v>268</v>
      </c>
      <c r="D386" s="10">
        <v>1706343</v>
      </c>
      <c r="E386" s="10" t="s">
        <v>20</v>
      </c>
      <c r="F386" s="10">
        <v>9.8799999999999999E-2</v>
      </c>
      <c r="G386" s="10">
        <v>0.9012</v>
      </c>
      <c r="H386" s="10" t="s">
        <v>47</v>
      </c>
      <c r="I386" s="10" t="b">
        <v>0</v>
      </c>
    </row>
    <row r="387" spans="3:9" x14ac:dyDescent="0.3">
      <c r="C387" s="10">
        <v>84</v>
      </c>
      <c r="D387" s="10">
        <v>1705099</v>
      </c>
      <c r="E387" s="10" t="s">
        <v>20</v>
      </c>
      <c r="F387" s="10">
        <v>9.8599999999999993E-2</v>
      </c>
      <c r="G387" s="10">
        <v>0.90139999999999998</v>
      </c>
      <c r="H387" s="10" t="s">
        <v>31</v>
      </c>
      <c r="I387" s="10" t="b">
        <v>0</v>
      </c>
    </row>
    <row r="388" spans="3:9" x14ac:dyDescent="0.3">
      <c r="C388" s="10">
        <v>273</v>
      </c>
      <c r="D388" s="10">
        <v>1705349</v>
      </c>
      <c r="E388" s="10" t="s">
        <v>20</v>
      </c>
      <c r="F388" s="10">
        <v>9.7100000000000006E-2</v>
      </c>
      <c r="G388" s="10">
        <v>0.90290000000000004</v>
      </c>
      <c r="H388" s="10" t="s">
        <v>31</v>
      </c>
      <c r="I388" s="10" t="b">
        <v>0</v>
      </c>
    </row>
    <row r="389" spans="3:9" x14ac:dyDescent="0.3">
      <c r="C389" s="10">
        <v>54</v>
      </c>
      <c r="D389" s="10">
        <v>1706067</v>
      </c>
      <c r="E389" s="10" t="s">
        <v>20</v>
      </c>
      <c r="F389" s="10">
        <v>9.6500000000000002E-2</v>
      </c>
      <c r="G389" s="10">
        <v>0.90349999999999997</v>
      </c>
      <c r="H389" s="10" t="s">
        <v>31</v>
      </c>
      <c r="I389" s="10" t="b">
        <v>0</v>
      </c>
    </row>
    <row r="390" spans="3:9" x14ac:dyDescent="0.3">
      <c r="C390" s="10">
        <v>103</v>
      </c>
      <c r="D390" s="10">
        <v>1705121</v>
      </c>
      <c r="E390" s="10" t="s">
        <v>20</v>
      </c>
      <c r="F390" s="10">
        <v>9.5500000000000002E-2</v>
      </c>
      <c r="G390" s="10">
        <v>0.90449999999999997</v>
      </c>
      <c r="H390" s="10" t="s">
        <v>31</v>
      </c>
      <c r="I390" s="10" t="b">
        <v>0</v>
      </c>
    </row>
    <row r="391" spans="3:9" x14ac:dyDescent="0.3">
      <c r="C391" s="10">
        <v>70</v>
      </c>
      <c r="D391" s="10">
        <v>1705082</v>
      </c>
      <c r="E391" s="10" t="s">
        <v>20</v>
      </c>
      <c r="F391" s="10">
        <v>9.5299999999999996E-2</v>
      </c>
      <c r="G391" s="10">
        <v>0.90469999999999995</v>
      </c>
      <c r="H391" s="10" t="s">
        <v>52</v>
      </c>
      <c r="I391" s="10" t="b">
        <v>0</v>
      </c>
    </row>
    <row r="392" spans="3:9" x14ac:dyDescent="0.3">
      <c r="C392" s="10">
        <v>131</v>
      </c>
      <c r="D392" s="10">
        <v>1706159</v>
      </c>
      <c r="E392" s="10" t="s">
        <v>20</v>
      </c>
      <c r="F392" s="10">
        <v>9.4700000000000006E-2</v>
      </c>
      <c r="G392" s="10">
        <v>0.90529999999999999</v>
      </c>
      <c r="H392" s="10" t="s">
        <v>46</v>
      </c>
      <c r="I392" s="10" t="b">
        <v>0</v>
      </c>
    </row>
    <row r="393" spans="3:9" x14ac:dyDescent="0.3">
      <c r="C393" s="10">
        <v>140</v>
      </c>
      <c r="D393" s="10">
        <v>1706172</v>
      </c>
      <c r="E393" s="10" t="s">
        <v>20</v>
      </c>
      <c r="F393" s="10">
        <v>9.3299999999999994E-2</v>
      </c>
      <c r="G393" s="10">
        <v>0.90669999999999995</v>
      </c>
      <c r="H393" s="10" t="s">
        <v>38</v>
      </c>
      <c r="I393" s="10" t="b">
        <v>0</v>
      </c>
    </row>
    <row r="394" spans="3:9" x14ac:dyDescent="0.3">
      <c r="C394" s="10">
        <v>84</v>
      </c>
      <c r="D394" s="10">
        <v>1706104</v>
      </c>
      <c r="E394" s="10" t="s">
        <v>20</v>
      </c>
      <c r="F394" s="10">
        <v>9.2100000000000001E-2</v>
      </c>
      <c r="G394" s="10">
        <v>0.90790000000000004</v>
      </c>
      <c r="H394" s="10" t="s">
        <v>31</v>
      </c>
      <c r="I394" s="10" t="b">
        <v>0</v>
      </c>
    </row>
    <row r="395" spans="3:9" x14ac:dyDescent="0.3">
      <c r="C395" s="10">
        <v>271</v>
      </c>
      <c r="D395" s="10">
        <v>1705343</v>
      </c>
      <c r="E395" s="10" t="s">
        <v>20</v>
      </c>
      <c r="F395" s="10">
        <v>9.0999999999999998E-2</v>
      </c>
      <c r="G395" s="10">
        <v>0.90900000000000003</v>
      </c>
      <c r="H395" s="10" t="s">
        <v>31</v>
      </c>
      <c r="I395" s="10" t="b">
        <v>0</v>
      </c>
    </row>
    <row r="396" spans="3:9" x14ac:dyDescent="0.3">
      <c r="C396" s="10">
        <v>200</v>
      </c>
      <c r="D396" s="10">
        <v>1705237</v>
      </c>
      <c r="E396" s="10" t="s">
        <v>20</v>
      </c>
      <c r="F396" s="10">
        <v>9.0899999999999995E-2</v>
      </c>
      <c r="G396" s="10">
        <v>0.90910000000000002</v>
      </c>
      <c r="H396" s="10" t="s">
        <v>45</v>
      </c>
      <c r="I396" s="10" t="b">
        <v>0</v>
      </c>
    </row>
    <row r="397" spans="3:9" x14ac:dyDescent="0.3">
      <c r="C397" s="10">
        <v>29</v>
      </c>
      <c r="D397" s="10">
        <v>1705033</v>
      </c>
      <c r="E397" s="10" t="s">
        <v>20</v>
      </c>
      <c r="F397" s="10">
        <v>8.8400000000000006E-2</v>
      </c>
      <c r="G397" s="10">
        <v>0.91159999999999997</v>
      </c>
      <c r="H397" s="10" t="s">
        <v>31</v>
      </c>
      <c r="I397" s="10" t="b">
        <v>0</v>
      </c>
    </row>
    <row r="398" spans="3:9" x14ac:dyDescent="0.3">
      <c r="C398" s="10">
        <v>137</v>
      </c>
      <c r="D398" s="10">
        <v>1706167</v>
      </c>
      <c r="E398" s="10" t="s">
        <v>20</v>
      </c>
      <c r="F398" s="10">
        <v>8.8300000000000003E-2</v>
      </c>
      <c r="G398" s="10">
        <v>0.91169999999999995</v>
      </c>
      <c r="H398" s="10" t="s">
        <v>38</v>
      </c>
      <c r="I398" s="10" t="b">
        <v>0</v>
      </c>
    </row>
    <row r="399" spans="3:9" x14ac:dyDescent="0.3">
      <c r="C399" s="10">
        <v>210</v>
      </c>
      <c r="D399" s="10">
        <v>1705250</v>
      </c>
      <c r="E399" s="10" t="s">
        <v>20</v>
      </c>
      <c r="F399" s="10">
        <v>8.7800000000000003E-2</v>
      </c>
      <c r="G399" s="10">
        <v>0.91220000000000001</v>
      </c>
      <c r="H399" s="10" t="s">
        <v>31</v>
      </c>
      <c r="I399" s="10" t="b">
        <v>0</v>
      </c>
    </row>
    <row r="400" spans="3:9" x14ac:dyDescent="0.3">
      <c r="C400" s="10">
        <v>3</v>
      </c>
      <c r="D400" s="10">
        <v>1706005</v>
      </c>
      <c r="E400" s="10" t="s">
        <v>20</v>
      </c>
      <c r="F400" s="10">
        <v>8.7499999999999994E-2</v>
      </c>
      <c r="G400" s="10">
        <v>0.91249999999999998</v>
      </c>
      <c r="H400" s="10" t="s">
        <v>31</v>
      </c>
      <c r="I400" s="10" t="b">
        <v>0</v>
      </c>
    </row>
    <row r="401" spans="3:9" x14ac:dyDescent="0.3">
      <c r="C401" s="10">
        <v>1</v>
      </c>
      <c r="D401" s="10">
        <v>1705001</v>
      </c>
      <c r="E401" s="10" t="s">
        <v>20</v>
      </c>
      <c r="F401" s="10">
        <v>8.72E-2</v>
      </c>
      <c r="G401" s="10">
        <v>0.91279999999999994</v>
      </c>
      <c r="H401" s="10" t="s">
        <v>31</v>
      </c>
      <c r="I401" s="10" t="b">
        <v>0</v>
      </c>
    </row>
    <row r="402" spans="3:9" x14ac:dyDescent="0.3">
      <c r="C402" s="10">
        <v>173</v>
      </c>
      <c r="D402" s="10">
        <v>1705208</v>
      </c>
      <c r="E402" s="10" t="s">
        <v>20</v>
      </c>
      <c r="F402" s="10">
        <v>8.6999999999999994E-2</v>
      </c>
      <c r="G402" s="10">
        <v>0.91300000000000003</v>
      </c>
      <c r="H402" s="10" t="s">
        <v>31</v>
      </c>
      <c r="I402" s="10" t="b">
        <v>0</v>
      </c>
    </row>
    <row r="403" spans="3:9" x14ac:dyDescent="0.3">
      <c r="C403" s="10">
        <v>278</v>
      </c>
      <c r="D403" s="10">
        <v>1705363</v>
      </c>
      <c r="E403" s="10" t="s">
        <v>20</v>
      </c>
      <c r="F403" s="10">
        <v>8.6999999999999994E-2</v>
      </c>
      <c r="G403" s="10">
        <v>0.91300000000000003</v>
      </c>
      <c r="H403" s="10" t="s">
        <v>31</v>
      </c>
      <c r="I403" s="10" t="b">
        <v>0</v>
      </c>
    </row>
    <row r="404" spans="3:9" x14ac:dyDescent="0.3">
      <c r="C404" s="10">
        <v>118</v>
      </c>
      <c r="D404" s="10">
        <v>1705138</v>
      </c>
      <c r="E404" s="10" t="s">
        <v>20</v>
      </c>
      <c r="F404" s="10">
        <v>8.6499999999999994E-2</v>
      </c>
      <c r="G404" s="10">
        <v>0.91349999999999998</v>
      </c>
      <c r="H404" s="10" t="s">
        <v>31</v>
      </c>
      <c r="I404" s="10" t="b">
        <v>0</v>
      </c>
    </row>
    <row r="405" spans="3:9" x14ac:dyDescent="0.3">
      <c r="C405" s="10">
        <v>218</v>
      </c>
      <c r="D405" s="10">
        <v>1706271</v>
      </c>
      <c r="E405" s="10" t="s">
        <v>20</v>
      </c>
      <c r="F405" s="10">
        <v>8.6300000000000002E-2</v>
      </c>
      <c r="G405" s="10">
        <v>0.91369999999999996</v>
      </c>
      <c r="H405" s="10" t="s">
        <v>38</v>
      </c>
      <c r="I405" s="10" t="b">
        <v>0</v>
      </c>
    </row>
    <row r="406" spans="3:9" x14ac:dyDescent="0.3">
      <c r="C406" s="10">
        <v>16</v>
      </c>
      <c r="D406" s="10">
        <v>1705017</v>
      </c>
      <c r="E406" s="10" t="s">
        <v>20</v>
      </c>
      <c r="F406" s="10">
        <v>8.5999999999999993E-2</v>
      </c>
      <c r="G406" s="10">
        <v>0.91400000000000003</v>
      </c>
      <c r="H406" s="10" t="s">
        <v>38</v>
      </c>
      <c r="I406" s="10" t="b">
        <v>0</v>
      </c>
    </row>
    <row r="407" spans="3:9" x14ac:dyDescent="0.3">
      <c r="C407" s="10">
        <v>110</v>
      </c>
      <c r="D407" s="10">
        <v>1706135</v>
      </c>
      <c r="E407" s="10" t="s">
        <v>20</v>
      </c>
      <c r="F407" s="10">
        <v>8.5500000000000007E-2</v>
      </c>
      <c r="G407" s="10">
        <v>0.91449999999999998</v>
      </c>
      <c r="H407" s="10" t="s">
        <v>38</v>
      </c>
      <c r="I407" s="10" t="b">
        <v>0</v>
      </c>
    </row>
    <row r="408" spans="3:9" x14ac:dyDescent="0.3">
      <c r="C408" s="10">
        <v>297</v>
      </c>
      <c r="D408" s="10">
        <v>1705397</v>
      </c>
      <c r="E408" s="10" t="s">
        <v>20</v>
      </c>
      <c r="F408" s="10">
        <v>8.5000000000000006E-2</v>
      </c>
      <c r="G408" s="10">
        <v>0.91500000000000004</v>
      </c>
      <c r="H408" s="10" t="s">
        <v>41</v>
      </c>
      <c r="I408" s="10" t="b">
        <v>0</v>
      </c>
    </row>
    <row r="409" spans="3:9" x14ac:dyDescent="0.3">
      <c r="C409" s="10">
        <v>255</v>
      </c>
      <c r="D409" s="10">
        <v>1705319</v>
      </c>
      <c r="E409" s="10" t="s">
        <v>20</v>
      </c>
      <c r="F409" s="10">
        <v>8.4000000000000005E-2</v>
      </c>
      <c r="G409" s="10">
        <v>0.91600000000000004</v>
      </c>
      <c r="H409" s="10" t="s">
        <v>31</v>
      </c>
      <c r="I409" s="10" t="b">
        <v>0</v>
      </c>
    </row>
    <row r="410" spans="3:9" x14ac:dyDescent="0.3">
      <c r="C410" s="10">
        <v>28</v>
      </c>
      <c r="D410" s="10">
        <v>1705032</v>
      </c>
      <c r="E410" s="10" t="s">
        <v>20</v>
      </c>
      <c r="F410" s="10">
        <v>8.3000000000000004E-2</v>
      </c>
      <c r="G410" s="10">
        <v>0.91700000000000004</v>
      </c>
      <c r="H410" s="10" t="s">
        <v>31</v>
      </c>
      <c r="I410" s="10" t="b">
        <v>0</v>
      </c>
    </row>
    <row r="411" spans="3:9" x14ac:dyDescent="0.3">
      <c r="C411" s="10">
        <v>304</v>
      </c>
      <c r="D411" s="10">
        <v>1705415</v>
      </c>
      <c r="E411" s="10" t="s">
        <v>20</v>
      </c>
      <c r="F411" s="10">
        <v>8.2799999999999999E-2</v>
      </c>
      <c r="G411" s="10">
        <v>0.91720000000000002</v>
      </c>
      <c r="H411" s="10" t="s">
        <v>31</v>
      </c>
      <c r="I411" s="10" t="b">
        <v>0</v>
      </c>
    </row>
    <row r="412" spans="3:9" x14ac:dyDescent="0.3">
      <c r="C412" s="10">
        <v>86</v>
      </c>
      <c r="D412" s="10">
        <v>1705101</v>
      </c>
      <c r="E412" s="10" t="s">
        <v>20</v>
      </c>
      <c r="F412" s="10">
        <v>8.1600000000000006E-2</v>
      </c>
      <c r="G412" s="10">
        <v>0.91839999999999999</v>
      </c>
      <c r="H412" s="10" t="s">
        <v>52</v>
      </c>
      <c r="I412" s="10" t="b">
        <v>0</v>
      </c>
    </row>
    <row r="413" spans="3:9" x14ac:dyDescent="0.3">
      <c r="C413" s="10">
        <v>132</v>
      </c>
      <c r="D413" s="10">
        <v>1705155</v>
      </c>
      <c r="E413" s="10" t="s">
        <v>20</v>
      </c>
      <c r="F413" s="10">
        <v>8.14E-2</v>
      </c>
      <c r="G413" s="10">
        <v>0.91859999999999997</v>
      </c>
      <c r="H413" s="10" t="s">
        <v>31</v>
      </c>
      <c r="I413" s="10" t="b">
        <v>0</v>
      </c>
    </row>
    <row r="414" spans="3:9" x14ac:dyDescent="0.3">
      <c r="C414" s="10">
        <v>21</v>
      </c>
      <c r="D414" s="10">
        <v>1706028</v>
      </c>
      <c r="E414" s="10" t="s">
        <v>20</v>
      </c>
      <c r="F414" s="10">
        <v>8.1000000000000003E-2</v>
      </c>
      <c r="G414" s="10">
        <v>0.91900000000000004</v>
      </c>
      <c r="H414" s="10" t="s">
        <v>31</v>
      </c>
      <c r="I414" s="10" t="b">
        <v>0</v>
      </c>
    </row>
    <row r="415" spans="3:9" x14ac:dyDescent="0.3">
      <c r="C415" s="10">
        <v>75</v>
      </c>
      <c r="D415" s="10">
        <v>1705089</v>
      </c>
      <c r="E415" s="10" t="s">
        <v>20</v>
      </c>
      <c r="F415" s="10">
        <v>8.0799999999999997E-2</v>
      </c>
      <c r="G415" s="10">
        <v>0.91920000000000002</v>
      </c>
      <c r="H415" s="10" t="s">
        <v>31</v>
      </c>
      <c r="I415" s="10" t="b">
        <v>0</v>
      </c>
    </row>
    <row r="416" spans="3:9" x14ac:dyDescent="0.3">
      <c r="C416" s="10">
        <v>143</v>
      </c>
      <c r="D416" s="10">
        <v>1705166</v>
      </c>
      <c r="E416" s="10" t="s">
        <v>20</v>
      </c>
      <c r="F416" s="10">
        <v>0.08</v>
      </c>
      <c r="G416" s="10">
        <v>0.92</v>
      </c>
      <c r="H416" s="10" t="s">
        <v>46</v>
      </c>
      <c r="I416" s="10" t="b">
        <v>0</v>
      </c>
    </row>
    <row r="417" spans="3:9" x14ac:dyDescent="0.3">
      <c r="C417" s="10">
        <v>22</v>
      </c>
      <c r="D417" s="10">
        <v>1705023</v>
      </c>
      <c r="E417" s="10" t="s">
        <v>20</v>
      </c>
      <c r="F417" s="10">
        <v>7.9000000000000001E-2</v>
      </c>
      <c r="G417" s="10">
        <v>0.92100000000000004</v>
      </c>
      <c r="H417" s="10" t="s">
        <v>46</v>
      </c>
      <c r="I417" s="10" t="b">
        <v>0</v>
      </c>
    </row>
    <row r="418" spans="3:9" x14ac:dyDescent="0.3">
      <c r="C418" s="10">
        <v>25</v>
      </c>
      <c r="D418" s="10">
        <v>1705027</v>
      </c>
      <c r="E418" s="10" t="s">
        <v>20</v>
      </c>
      <c r="F418" s="10">
        <v>7.9000000000000001E-2</v>
      </c>
      <c r="G418" s="10">
        <v>0.92100000000000004</v>
      </c>
      <c r="H418" s="10" t="s">
        <v>31</v>
      </c>
      <c r="I418" s="10" t="b">
        <v>0</v>
      </c>
    </row>
    <row r="419" spans="3:9" x14ac:dyDescent="0.3">
      <c r="C419" s="10">
        <v>207</v>
      </c>
      <c r="D419" s="10">
        <v>1705247</v>
      </c>
      <c r="E419" s="10" t="s">
        <v>20</v>
      </c>
      <c r="F419" s="10">
        <v>7.8899999999999998E-2</v>
      </c>
      <c r="G419" s="10">
        <v>0.92110000000000003</v>
      </c>
      <c r="H419" s="10" t="s">
        <v>31</v>
      </c>
      <c r="I419" s="10" t="b">
        <v>0</v>
      </c>
    </row>
    <row r="420" spans="3:9" x14ac:dyDescent="0.3">
      <c r="C420" s="10">
        <v>129</v>
      </c>
      <c r="D420" s="10">
        <v>1706156</v>
      </c>
      <c r="E420" s="10" t="s">
        <v>20</v>
      </c>
      <c r="F420" s="10">
        <v>7.8E-2</v>
      </c>
      <c r="G420" s="10">
        <v>0.92200000000000004</v>
      </c>
      <c r="H420" s="10" t="s">
        <v>38</v>
      </c>
      <c r="I420" s="10" t="b">
        <v>0</v>
      </c>
    </row>
    <row r="421" spans="3:9" x14ac:dyDescent="0.3">
      <c r="C421" s="10">
        <v>145</v>
      </c>
      <c r="D421" s="10">
        <v>1705168</v>
      </c>
      <c r="E421" s="10" t="s">
        <v>20</v>
      </c>
      <c r="F421" s="10">
        <v>7.5999999999999998E-2</v>
      </c>
      <c r="G421" s="10">
        <v>0.92400000000000004</v>
      </c>
      <c r="H421" s="10" t="s">
        <v>31</v>
      </c>
      <c r="I421" s="10" t="b">
        <v>0</v>
      </c>
    </row>
    <row r="422" spans="3:9" x14ac:dyDescent="0.3">
      <c r="C422" s="10">
        <v>121</v>
      </c>
      <c r="D422" s="10">
        <v>1706148</v>
      </c>
      <c r="E422" s="10" t="s">
        <v>20</v>
      </c>
      <c r="F422" s="10">
        <v>7.5200000000000003E-2</v>
      </c>
      <c r="G422" s="10">
        <v>0.92479999999999996</v>
      </c>
      <c r="H422" s="10" t="s">
        <v>38</v>
      </c>
      <c r="I422" s="10" t="b">
        <v>0</v>
      </c>
    </row>
    <row r="423" spans="3:9" x14ac:dyDescent="0.3">
      <c r="C423" s="10">
        <v>19</v>
      </c>
      <c r="D423" s="10">
        <v>1705020</v>
      </c>
      <c r="E423" s="10" t="s">
        <v>20</v>
      </c>
      <c r="F423" s="10">
        <v>7.3800000000000004E-2</v>
      </c>
      <c r="G423" s="10">
        <v>0.92620000000000002</v>
      </c>
      <c r="H423" s="10" t="s">
        <v>31</v>
      </c>
      <c r="I423" s="10" t="b">
        <v>0</v>
      </c>
    </row>
    <row r="424" spans="3:9" x14ac:dyDescent="0.3">
      <c r="C424" s="10">
        <v>264</v>
      </c>
      <c r="D424" s="10">
        <v>1705330</v>
      </c>
      <c r="E424" s="10" t="s">
        <v>20</v>
      </c>
      <c r="F424" s="10">
        <v>7.3300000000000004E-2</v>
      </c>
      <c r="G424" s="10">
        <v>0.92669999999999997</v>
      </c>
      <c r="H424" s="10" t="s">
        <v>31</v>
      </c>
      <c r="I424" s="10" t="b">
        <v>0</v>
      </c>
    </row>
    <row r="425" spans="3:9" x14ac:dyDescent="0.3">
      <c r="C425" s="10">
        <v>235</v>
      </c>
      <c r="D425" s="10">
        <v>1706297</v>
      </c>
      <c r="E425" s="10" t="s">
        <v>20</v>
      </c>
      <c r="F425" s="10">
        <v>7.3099999999999998E-2</v>
      </c>
      <c r="G425" s="10">
        <v>0.92689999999999995</v>
      </c>
      <c r="H425" s="10" t="s">
        <v>38</v>
      </c>
      <c r="I425" s="10" t="b">
        <v>0</v>
      </c>
    </row>
    <row r="426" spans="3:9" x14ac:dyDescent="0.3">
      <c r="C426" s="10">
        <v>54</v>
      </c>
      <c r="D426" s="10">
        <v>1705062</v>
      </c>
      <c r="E426" s="10" t="s">
        <v>20</v>
      </c>
      <c r="F426" s="10">
        <v>7.2900000000000006E-2</v>
      </c>
      <c r="G426" s="10">
        <v>0.92710000000000004</v>
      </c>
      <c r="H426" s="10" t="s">
        <v>31</v>
      </c>
      <c r="I426" s="10" t="b">
        <v>0</v>
      </c>
    </row>
    <row r="427" spans="3:9" x14ac:dyDescent="0.3">
      <c r="C427" s="10">
        <v>44</v>
      </c>
      <c r="D427" s="10">
        <v>1705048</v>
      </c>
      <c r="E427" s="10" t="s">
        <v>20</v>
      </c>
      <c r="F427" s="10">
        <v>7.2599999999999998E-2</v>
      </c>
      <c r="G427" s="10">
        <v>0.9274</v>
      </c>
      <c r="H427" s="10" t="s">
        <v>31</v>
      </c>
      <c r="I427" s="10" t="b">
        <v>0</v>
      </c>
    </row>
    <row r="428" spans="3:9" x14ac:dyDescent="0.3">
      <c r="C428" s="10">
        <v>34</v>
      </c>
      <c r="D428" s="10">
        <v>1705038</v>
      </c>
      <c r="E428" s="10" t="s">
        <v>20</v>
      </c>
      <c r="F428" s="10">
        <v>7.2499999999999995E-2</v>
      </c>
      <c r="G428" s="10">
        <v>0.92749999999999999</v>
      </c>
      <c r="H428" s="10" t="s">
        <v>31</v>
      </c>
      <c r="I428" s="10" t="b">
        <v>0</v>
      </c>
    </row>
    <row r="429" spans="3:9" x14ac:dyDescent="0.3">
      <c r="C429" s="10">
        <v>218</v>
      </c>
      <c r="D429" s="10">
        <v>1705259</v>
      </c>
      <c r="E429" s="10" t="s">
        <v>20</v>
      </c>
      <c r="F429" s="10">
        <v>7.1999999999999995E-2</v>
      </c>
      <c r="G429" s="10">
        <v>0.92800000000000005</v>
      </c>
      <c r="H429" s="10" t="s">
        <v>38</v>
      </c>
      <c r="I429" s="10" t="b">
        <v>0</v>
      </c>
    </row>
    <row r="430" spans="3:9" x14ac:dyDescent="0.3">
      <c r="C430" s="10">
        <v>42</v>
      </c>
      <c r="D430" s="10">
        <v>1705046</v>
      </c>
      <c r="E430" s="10" t="s">
        <v>20</v>
      </c>
      <c r="F430" s="10">
        <v>7.1800000000000003E-2</v>
      </c>
      <c r="G430" s="10">
        <v>0.92820000000000003</v>
      </c>
      <c r="H430" s="10" t="s">
        <v>31</v>
      </c>
      <c r="I430" s="10" t="b">
        <v>0</v>
      </c>
    </row>
    <row r="431" spans="3:9" x14ac:dyDescent="0.3">
      <c r="C431" s="10">
        <v>68</v>
      </c>
      <c r="D431" s="10">
        <v>1705077</v>
      </c>
      <c r="E431" s="10" t="s">
        <v>20</v>
      </c>
      <c r="F431" s="10">
        <v>7.1800000000000003E-2</v>
      </c>
      <c r="G431" s="10">
        <v>0.92820000000000003</v>
      </c>
      <c r="H431" s="10" t="s">
        <v>52</v>
      </c>
      <c r="I431" s="10" t="b">
        <v>0</v>
      </c>
    </row>
    <row r="432" spans="3:9" x14ac:dyDescent="0.3">
      <c r="C432" s="10">
        <v>191</v>
      </c>
      <c r="D432" s="10">
        <v>1706226</v>
      </c>
      <c r="E432" s="10" t="s">
        <v>20</v>
      </c>
      <c r="F432" s="10">
        <v>7.1400000000000005E-2</v>
      </c>
      <c r="G432" s="10">
        <v>0.92859999999999998</v>
      </c>
      <c r="H432" s="10" t="s">
        <v>38</v>
      </c>
      <c r="I432" s="10" t="b">
        <v>0</v>
      </c>
    </row>
    <row r="433" spans="3:9" x14ac:dyDescent="0.3">
      <c r="C433" s="10">
        <v>120</v>
      </c>
      <c r="D433" s="10">
        <v>1705140</v>
      </c>
      <c r="E433" s="10" t="s">
        <v>20</v>
      </c>
      <c r="F433" s="10">
        <v>7.1199999999999999E-2</v>
      </c>
      <c r="G433" s="10">
        <v>0.92879999999999996</v>
      </c>
      <c r="H433" s="10" t="s">
        <v>31</v>
      </c>
      <c r="I433" s="10" t="b">
        <v>0</v>
      </c>
    </row>
    <row r="434" spans="3:9" x14ac:dyDescent="0.3">
      <c r="C434" s="10">
        <v>240</v>
      </c>
      <c r="D434" s="10">
        <v>1705298</v>
      </c>
      <c r="E434" s="10" t="s">
        <v>20</v>
      </c>
      <c r="F434" s="10">
        <v>7.1099999999999997E-2</v>
      </c>
      <c r="G434" s="10">
        <v>0.92889999999999995</v>
      </c>
      <c r="H434" s="10" t="s">
        <v>33</v>
      </c>
      <c r="I434" s="10" t="b">
        <v>0</v>
      </c>
    </row>
    <row r="435" spans="3:9" x14ac:dyDescent="0.3">
      <c r="C435" s="10">
        <v>59</v>
      </c>
      <c r="D435" s="10">
        <v>1706072</v>
      </c>
      <c r="E435" s="10" t="s">
        <v>20</v>
      </c>
      <c r="F435" s="10">
        <v>7.0099999999999996E-2</v>
      </c>
      <c r="G435" s="10">
        <v>0.92989999999999995</v>
      </c>
      <c r="H435" s="10" t="s">
        <v>31</v>
      </c>
      <c r="I435" s="10" t="b">
        <v>0</v>
      </c>
    </row>
    <row r="436" spans="3:9" x14ac:dyDescent="0.3">
      <c r="C436" s="10">
        <v>9</v>
      </c>
      <c r="D436" s="10">
        <v>1705010</v>
      </c>
      <c r="E436" s="10" t="s">
        <v>20</v>
      </c>
      <c r="F436" s="10">
        <v>6.9400000000000003E-2</v>
      </c>
      <c r="G436" s="10">
        <v>0.93059999999999998</v>
      </c>
      <c r="H436" s="10" t="s">
        <v>31</v>
      </c>
      <c r="I436" s="10" t="b">
        <v>0</v>
      </c>
    </row>
    <row r="437" spans="3:9" x14ac:dyDescent="0.3">
      <c r="C437" s="10">
        <v>242</v>
      </c>
      <c r="D437" s="10">
        <v>1705301</v>
      </c>
      <c r="E437" s="10" t="s">
        <v>20</v>
      </c>
      <c r="F437" s="10">
        <v>6.7799999999999999E-2</v>
      </c>
      <c r="G437" s="10">
        <v>0.93220000000000003</v>
      </c>
      <c r="H437" s="10" t="s">
        <v>31</v>
      </c>
      <c r="I437" s="10" t="b">
        <v>0</v>
      </c>
    </row>
    <row r="438" spans="3:9" x14ac:dyDescent="0.3">
      <c r="C438" s="10">
        <v>56</v>
      </c>
      <c r="D438" s="10">
        <v>1706069</v>
      </c>
      <c r="E438" s="10" t="s">
        <v>20</v>
      </c>
      <c r="F438" s="10">
        <v>6.6100000000000006E-2</v>
      </c>
      <c r="G438" s="10">
        <v>0.93389999999999995</v>
      </c>
      <c r="H438" s="10" t="s">
        <v>31</v>
      </c>
      <c r="I438" s="10" t="b">
        <v>0</v>
      </c>
    </row>
    <row r="439" spans="3:9" x14ac:dyDescent="0.3">
      <c r="C439" s="10">
        <v>253</v>
      </c>
      <c r="D439" s="10">
        <v>1706324</v>
      </c>
      <c r="E439" s="10" t="s">
        <v>20</v>
      </c>
      <c r="F439" s="10">
        <v>6.5500000000000003E-2</v>
      </c>
      <c r="G439" s="10">
        <v>0.9345</v>
      </c>
      <c r="H439" s="10" t="s">
        <v>38</v>
      </c>
      <c r="I439" s="10" t="b">
        <v>0</v>
      </c>
    </row>
    <row r="440" spans="3:9" x14ac:dyDescent="0.3">
      <c r="C440" s="10">
        <v>61</v>
      </c>
      <c r="D440" s="10">
        <v>1705069</v>
      </c>
      <c r="E440" s="10" t="s">
        <v>20</v>
      </c>
      <c r="F440" s="10">
        <v>6.4199999999999993E-2</v>
      </c>
      <c r="G440" s="10">
        <v>0.93579999999999997</v>
      </c>
      <c r="H440" s="10" t="s">
        <v>31</v>
      </c>
      <c r="I440" s="10" t="b">
        <v>0</v>
      </c>
    </row>
    <row r="441" spans="3:9" x14ac:dyDescent="0.3">
      <c r="C441" s="10">
        <v>13</v>
      </c>
      <c r="D441" s="10">
        <v>1705014</v>
      </c>
      <c r="E441" s="10" t="s">
        <v>20</v>
      </c>
      <c r="F441" s="10">
        <v>6.4100000000000004E-2</v>
      </c>
      <c r="G441" s="10">
        <v>0.93589999999999995</v>
      </c>
      <c r="H441" s="10" t="s">
        <v>31</v>
      </c>
      <c r="I441" s="10" t="b">
        <v>0</v>
      </c>
    </row>
    <row r="442" spans="3:9" x14ac:dyDescent="0.3">
      <c r="C442" s="10">
        <v>104</v>
      </c>
      <c r="D442" s="10">
        <v>1705122</v>
      </c>
      <c r="E442" s="10" t="s">
        <v>20</v>
      </c>
      <c r="F442" s="10">
        <v>6.3299999999999995E-2</v>
      </c>
      <c r="G442" s="10">
        <v>0.93669999999999998</v>
      </c>
      <c r="H442" s="10" t="s">
        <v>31</v>
      </c>
      <c r="I442" s="10" t="b">
        <v>0</v>
      </c>
    </row>
    <row r="443" spans="3:9" x14ac:dyDescent="0.3">
      <c r="C443" s="10">
        <v>50</v>
      </c>
      <c r="D443" s="10">
        <v>1706063</v>
      </c>
      <c r="E443" s="10" t="s">
        <v>20</v>
      </c>
      <c r="F443" s="10">
        <v>6.2300000000000001E-2</v>
      </c>
      <c r="G443" s="10">
        <v>0.93769999999999998</v>
      </c>
      <c r="H443" s="10" t="s">
        <v>38</v>
      </c>
      <c r="I443" s="10" t="b">
        <v>0</v>
      </c>
    </row>
    <row r="444" spans="3:9" x14ac:dyDescent="0.3">
      <c r="C444" s="10">
        <v>301</v>
      </c>
      <c r="D444" s="10">
        <v>1705408</v>
      </c>
      <c r="E444" s="10" t="s">
        <v>20</v>
      </c>
      <c r="F444" s="10">
        <v>6.2E-2</v>
      </c>
      <c r="G444" s="10">
        <v>0.93799999999999994</v>
      </c>
      <c r="H444" s="10" t="s">
        <v>31</v>
      </c>
      <c r="I444" s="10" t="b">
        <v>0</v>
      </c>
    </row>
    <row r="445" spans="3:9" x14ac:dyDescent="0.3">
      <c r="C445" s="10">
        <v>131</v>
      </c>
      <c r="D445" s="10">
        <v>1705154</v>
      </c>
      <c r="E445" s="10" t="s">
        <v>20</v>
      </c>
      <c r="F445" s="10">
        <v>6.1499999999999999E-2</v>
      </c>
      <c r="G445" s="10">
        <v>0.9385</v>
      </c>
      <c r="H445" s="10" t="s">
        <v>31</v>
      </c>
      <c r="I445" s="10" t="b">
        <v>0</v>
      </c>
    </row>
    <row r="446" spans="3:9" x14ac:dyDescent="0.3">
      <c r="C446" s="10">
        <v>24</v>
      </c>
      <c r="D446" s="10">
        <v>1705025</v>
      </c>
      <c r="E446" s="10" t="s">
        <v>20</v>
      </c>
      <c r="F446" s="10">
        <v>6.1100000000000002E-2</v>
      </c>
      <c r="G446" s="10">
        <v>0.93889999999999996</v>
      </c>
      <c r="H446" s="10" t="s">
        <v>31</v>
      </c>
      <c r="I446" s="10" t="b">
        <v>0</v>
      </c>
    </row>
    <row r="447" spans="3:9" x14ac:dyDescent="0.3">
      <c r="C447" s="10">
        <v>83</v>
      </c>
      <c r="D447" s="10">
        <v>1705098</v>
      </c>
      <c r="E447" s="10" t="s">
        <v>20</v>
      </c>
      <c r="F447" s="10">
        <v>6.0199999999999997E-2</v>
      </c>
      <c r="G447" s="10">
        <v>0.93979999999999997</v>
      </c>
      <c r="H447" s="10" t="s">
        <v>38</v>
      </c>
      <c r="I447" s="10" t="b">
        <v>0</v>
      </c>
    </row>
    <row r="448" spans="3:9" x14ac:dyDescent="0.3">
      <c r="C448" s="10">
        <v>71</v>
      </c>
      <c r="D448" s="10">
        <v>1705084</v>
      </c>
      <c r="E448" s="10" t="s">
        <v>20</v>
      </c>
      <c r="F448" s="10">
        <v>5.9799999999999999E-2</v>
      </c>
      <c r="G448" s="10">
        <v>0.94020000000000004</v>
      </c>
      <c r="H448" s="10" t="s">
        <v>45</v>
      </c>
      <c r="I448" s="10" t="b">
        <v>0</v>
      </c>
    </row>
    <row r="449" spans="3:9" x14ac:dyDescent="0.3">
      <c r="C449" s="10">
        <v>66</v>
      </c>
      <c r="D449" s="10">
        <v>1706083</v>
      </c>
      <c r="E449" s="10" t="s">
        <v>20</v>
      </c>
      <c r="F449" s="10">
        <v>5.8999999999999997E-2</v>
      </c>
      <c r="G449" s="10">
        <v>0.94099999999999995</v>
      </c>
      <c r="H449" s="10" t="s">
        <v>38</v>
      </c>
      <c r="I449" s="10" t="b">
        <v>0</v>
      </c>
    </row>
    <row r="450" spans="3:9" x14ac:dyDescent="0.3">
      <c r="C450" s="10">
        <v>266</v>
      </c>
      <c r="D450" s="10">
        <v>1705336</v>
      </c>
      <c r="E450" s="10" t="s">
        <v>20</v>
      </c>
      <c r="F450" s="10">
        <v>5.8900000000000001E-2</v>
      </c>
      <c r="G450" s="10">
        <v>0.94110000000000005</v>
      </c>
      <c r="H450" s="10" t="s">
        <v>31</v>
      </c>
      <c r="I450" s="10" t="b">
        <v>0</v>
      </c>
    </row>
    <row r="451" spans="3:9" x14ac:dyDescent="0.3">
      <c r="C451" s="10">
        <v>248</v>
      </c>
      <c r="D451" s="10">
        <v>1706314</v>
      </c>
      <c r="E451" s="10" t="s">
        <v>20</v>
      </c>
      <c r="F451" s="10">
        <v>5.7500000000000002E-2</v>
      </c>
      <c r="G451" s="10">
        <v>0.9425</v>
      </c>
      <c r="H451" s="10" t="s">
        <v>38</v>
      </c>
      <c r="I451" s="10" t="b">
        <v>0</v>
      </c>
    </row>
    <row r="452" spans="3:9" x14ac:dyDescent="0.3">
      <c r="C452" s="10">
        <v>101</v>
      </c>
      <c r="D452" s="10">
        <v>1706123</v>
      </c>
      <c r="E452" s="10" t="s">
        <v>20</v>
      </c>
      <c r="F452" s="10">
        <v>5.67E-2</v>
      </c>
      <c r="G452" s="10">
        <v>0.94330000000000003</v>
      </c>
      <c r="H452" s="10" t="s">
        <v>38</v>
      </c>
      <c r="I452" s="10" t="b">
        <v>0</v>
      </c>
    </row>
    <row r="453" spans="3:9" x14ac:dyDescent="0.3">
      <c r="C453" s="10">
        <v>95</v>
      </c>
      <c r="D453" s="10">
        <v>1705112</v>
      </c>
      <c r="E453" s="10" t="s">
        <v>20</v>
      </c>
      <c r="F453" s="10">
        <v>5.6099999999999997E-2</v>
      </c>
      <c r="G453" s="10">
        <v>0.94389999999999996</v>
      </c>
      <c r="H453" s="10" t="s">
        <v>38</v>
      </c>
      <c r="I453" s="10" t="b">
        <v>0</v>
      </c>
    </row>
    <row r="454" spans="3:9" x14ac:dyDescent="0.3">
      <c r="C454" s="10">
        <v>168</v>
      </c>
      <c r="D454" s="10">
        <v>1705202</v>
      </c>
      <c r="E454" s="10" t="s">
        <v>20</v>
      </c>
      <c r="F454" s="10">
        <v>5.6000000000000001E-2</v>
      </c>
      <c r="G454" s="10">
        <v>0.94399999999999995</v>
      </c>
      <c r="H454" s="10" t="s">
        <v>31</v>
      </c>
      <c r="I454" s="10" t="b">
        <v>0</v>
      </c>
    </row>
    <row r="455" spans="3:9" x14ac:dyDescent="0.3">
      <c r="C455" s="10">
        <v>293</v>
      </c>
      <c r="D455" s="10">
        <v>1705393</v>
      </c>
      <c r="E455" s="10" t="s">
        <v>20</v>
      </c>
      <c r="F455" s="10">
        <v>5.5899999999999998E-2</v>
      </c>
      <c r="G455" s="10">
        <v>0.94410000000000005</v>
      </c>
      <c r="H455" s="10" t="s">
        <v>31</v>
      </c>
      <c r="I455" s="10" t="b">
        <v>0</v>
      </c>
    </row>
    <row r="456" spans="3:9" x14ac:dyDescent="0.3">
      <c r="C456" s="10">
        <v>166</v>
      </c>
      <c r="D456" s="10">
        <v>1706200</v>
      </c>
      <c r="E456" s="10" t="s">
        <v>20</v>
      </c>
      <c r="F456" s="10">
        <v>5.5899999999999998E-2</v>
      </c>
      <c r="G456" s="10">
        <v>0.94410000000000005</v>
      </c>
      <c r="H456" s="10" t="s">
        <v>38</v>
      </c>
      <c r="I456" s="10" t="b">
        <v>0</v>
      </c>
    </row>
    <row r="457" spans="3:9" x14ac:dyDescent="0.3">
      <c r="C457" s="10">
        <v>168</v>
      </c>
      <c r="D457" s="10">
        <v>1706202</v>
      </c>
      <c r="E457" s="10" t="s">
        <v>20</v>
      </c>
      <c r="F457" s="10">
        <v>5.5500000000000001E-2</v>
      </c>
      <c r="G457" s="10">
        <v>0.94450000000000001</v>
      </c>
      <c r="H457" s="10" t="s">
        <v>38</v>
      </c>
      <c r="I457" s="10" t="b">
        <v>0</v>
      </c>
    </row>
    <row r="458" spans="3:9" x14ac:dyDescent="0.3">
      <c r="C458" s="10">
        <v>292</v>
      </c>
      <c r="D458" s="10">
        <v>1705392</v>
      </c>
      <c r="E458" s="10" t="s">
        <v>20</v>
      </c>
      <c r="F458" s="10">
        <v>5.5399999999999998E-2</v>
      </c>
      <c r="G458" s="10">
        <v>0.9446</v>
      </c>
      <c r="H458" s="10" t="s">
        <v>38</v>
      </c>
      <c r="I458" s="10" t="b">
        <v>0</v>
      </c>
    </row>
    <row r="459" spans="3:9" x14ac:dyDescent="0.3">
      <c r="C459" s="10">
        <v>189</v>
      </c>
      <c r="D459" s="10">
        <v>1705225</v>
      </c>
      <c r="E459" s="10" t="s">
        <v>20</v>
      </c>
      <c r="F459" s="10">
        <v>5.3499999999999999E-2</v>
      </c>
      <c r="G459" s="10">
        <v>0.94650000000000001</v>
      </c>
      <c r="H459" s="10" t="s">
        <v>38</v>
      </c>
      <c r="I459" s="10" t="b">
        <v>0</v>
      </c>
    </row>
    <row r="460" spans="3:9" x14ac:dyDescent="0.3">
      <c r="C460" s="10">
        <v>187</v>
      </c>
      <c r="D460" s="10">
        <v>1705223</v>
      </c>
      <c r="E460" s="10" t="s">
        <v>20</v>
      </c>
      <c r="F460" s="10">
        <v>5.1900000000000002E-2</v>
      </c>
      <c r="G460" s="10">
        <v>0.94810000000000005</v>
      </c>
      <c r="H460" s="10" t="s">
        <v>38</v>
      </c>
      <c r="I460" s="10" t="b">
        <v>0</v>
      </c>
    </row>
    <row r="461" spans="3:9" x14ac:dyDescent="0.3">
      <c r="C461" s="10">
        <v>35</v>
      </c>
      <c r="D461" s="10">
        <v>1705039</v>
      </c>
      <c r="E461" s="10" t="s">
        <v>20</v>
      </c>
      <c r="F461" s="10">
        <v>5.1499999999999997E-2</v>
      </c>
      <c r="G461" s="10">
        <v>0.94850000000000001</v>
      </c>
      <c r="H461" s="10" t="s">
        <v>31</v>
      </c>
      <c r="I461" s="10" t="b">
        <v>0</v>
      </c>
    </row>
    <row r="462" spans="3:9" x14ac:dyDescent="0.3">
      <c r="C462" s="10">
        <v>111</v>
      </c>
      <c r="D462" s="10">
        <v>1705131</v>
      </c>
      <c r="E462" s="10" t="s">
        <v>20</v>
      </c>
      <c r="F462" s="10">
        <v>5.1499999999999997E-2</v>
      </c>
      <c r="G462" s="10">
        <v>0.94850000000000001</v>
      </c>
      <c r="H462" s="10" t="s">
        <v>31</v>
      </c>
      <c r="I462" s="10" t="b">
        <v>0</v>
      </c>
    </row>
    <row r="463" spans="3:9" x14ac:dyDescent="0.3">
      <c r="C463" s="10">
        <v>8</v>
      </c>
      <c r="D463" s="10">
        <v>1706013</v>
      </c>
      <c r="E463" s="10" t="s">
        <v>20</v>
      </c>
      <c r="F463" s="10">
        <v>5.0999999999999997E-2</v>
      </c>
      <c r="G463" s="10">
        <v>0.94899999999999995</v>
      </c>
      <c r="H463" s="10" t="s">
        <v>31</v>
      </c>
      <c r="I463" s="10" t="b">
        <v>0</v>
      </c>
    </row>
    <row r="464" spans="3:9" x14ac:dyDescent="0.3">
      <c r="C464" s="10">
        <v>262</v>
      </c>
      <c r="D464" s="10">
        <v>1706335</v>
      </c>
      <c r="E464" s="10" t="s">
        <v>20</v>
      </c>
      <c r="F464" s="10">
        <v>5.0200000000000002E-2</v>
      </c>
      <c r="G464" s="10">
        <v>0.94979999999999998</v>
      </c>
      <c r="H464" s="10" t="s">
        <v>47</v>
      </c>
      <c r="I464" s="10" t="b">
        <v>0</v>
      </c>
    </row>
    <row r="465" spans="3:9" x14ac:dyDescent="0.3">
      <c r="C465" s="10">
        <v>82</v>
      </c>
      <c r="D465" s="10">
        <v>1706102</v>
      </c>
      <c r="E465" s="10" t="s">
        <v>20</v>
      </c>
      <c r="F465" s="10">
        <v>4.9299999999999997E-2</v>
      </c>
      <c r="G465" s="10">
        <v>0.95069999999999999</v>
      </c>
      <c r="H465" s="10" t="s">
        <v>31</v>
      </c>
      <c r="I465" s="10" t="b">
        <v>0</v>
      </c>
    </row>
    <row r="466" spans="3:9" x14ac:dyDescent="0.3">
      <c r="C466" s="10">
        <v>32</v>
      </c>
      <c r="D466" s="10">
        <v>1705036</v>
      </c>
      <c r="E466" s="10" t="s">
        <v>20</v>
      </c>
      <c r="F466" s="10">
        <v>4.9099999999999998E-2</v>
      </c>
      <c r="G466" s="10">
        <v>0.95089999999999997</v>
      </c>
      <c r="H466" s="10" t="s">
        <v>31</v>
      </c>
      <c r="I466" s="10" t="b">
        <v>0</v>
      </c>
    </row>
    <row r="467" spans="3:9" x14ac:dyDescent="0.3">
      <c r="C467" s="10">
        <v>67</v>
      </c>
      <c r="D467" s="10">
        <v>1706085</v>
      </c>
      <c r="E467" s="10" t="s">
        <v>20</v>
      </c>
      <c r="F467" s="10">
        <v>4.7800000000000002E-2</v>
      </c>
      <c r="G467" s="10">
        <v>0.95220000000000005</v>
      </c>
      <c r="H467" s="10" t="s">
        <v>38</v>
      </c>
      <c r="I467" s="10" t="b">
        <v>0</v>
      </c>
    </row>
    <row r="468" spans="3:9" x14ac:dyDescent="0.3">
      <c r="C468" s="10">
        <v>107</v>
      </c>
      <c r="D468" s="10">
        <v>1705127</v>
      </c>
      <c r="E468" s="10" t="s">
        <v>20</v>
      </c>
      <c r="F468" s="10">
        <v>4.7199999999999999E-2</v>
      </c>
      <c r="G468" s="10">
        <v>0.95279999999999998</v>
      </c>
      <c r="H468" s="10" t="s">
        <v>31</v>
      </c>
      <c r="I468" s="10" t="b">
        <v>0</v>
      </c>
    </row>
    <row r="469" spans="3:9" x14ac:dyDescent="0.3">
      <c r="C469" s="10">
        <v>256</v>
      </c>
      <c r="D469" s="10">
        <v>1706327</v>
      </c>
      <c r="E469" s="10" t="s">
        <v>20</v>
      </c>
      <c r="F469" s="10">
        <v>4.6899999999999997E-2</v>
      </c>
      <c r="G469" s="10">
        <v>0.95309999999999995</v>
      </c>
      <c r="H469" s="10" t="s">
        <v>38</v>
      </c>
      <c r="I469" s="10" t="b">
        <v>0</v>
      </c>
    </row>
    <row r="470" spans="3:9" x14ac:dyDescent="0.3">
      <c r="C470" s="10">
        <v>285</v>
      </c>
      <c r="D470" s="10">
        <v>1705384</v>
      </c>
      <c r="E470" s="10" t="s">
        <v>20</v>
      </c>
      <c r="F470" s="10">
        <v>4.5600000000000002E-2</v>
      </c>
      <c r="G470" s="10">
        <v>0.95440000000000003</v>
      </c>
      <c r="H470" s="10" t="s">
        <v>38</v>
      </c>
      <c r="I470" s="10" t="b">
        <v>0</v>
      </c>
    </row>
    <row r="471" spans="3:9" x14ac:dyDescent="0.3">
      <c r="C471" s="10">
        <v>73</v>
      </c>
      <c r="D471" s="10">
        <v>1706093</v>
      </c>
      <c r="E471" s="10" t="s">
        <v>20</v>
      </c>
      <c r="F471" s="10">
        <v>4.5600000000000002E-2</v>
      </c>
      <c r="G471" s="10">
        <v>0.95440000000000003</v>
      </c>
      <c r="H471" s="10" t="s">
        <v>38</v>
      </c>
      <c r="I471" s="10" t="b">
        <v>0</v>
      </c>
    </row>
    <row r="472" spans="3:9" x14ac:dyDescent="0.3">
      <c r="C472" s="10">
        <v>45</v>
      </c>
      <c r="D472" s="10">
        <v>1706058</v>
      </c>
      <c r="E472" s="10" t="s">
        <v>20</v>
      </c>
      <c r="F472" s="10">
        <v>4.5100000000000001E-2</v>
      </c>
      <c r="G472" s="10">
        <v>0.95489999999999997</v>
      </c>
      <c r="H472" s="10" t="s">
        <v>38</v>
      </c>
      <c r="I472" s="10" t="b">
        <v>0</v>
      </c>
    </row>
    <row r="473" spans="3:9" x14ac:dyDescent="0.3">
      <c r="C473" s="10">
        <v>55</v>
      </c>
      <c r="D473" s="10">
        <v>1706068</v>
      </c>
      <c r="E473" s="10" t="s">
        <v>20</v>
      </c>
      <c r="F473" s="10">
        <v>4.4900000000000002E-2</v>
      </c>
      <c r="G473" s="10">
        <v>0.95509999999999995</v>
      </c>
      <c r="H473" s="10" t="s">
        <v>31</v>
      </c>
      <c r="I473" s="10" t="b">
        <v>0</v>
      </c>
    </row>
    <row r="474" spans="3:9" x14ac:dyDescent="0.3">
      <c r="C474" s="10">
        <v>62</v>
      </c>
      <c r="D474" s="10">
        <v>1706076</v>
      </c>
      <c r="E474" s="10" t="s">
        <v>20</v>
      </c>
      <c r="F474" s="10">
        <v>4.48E-2</v>
      </c>
      <c r="G474" s="10">
        <v>0.95520000000000005</v>
      </c>
      <c r="H474" s="10" t="s">
        <v>41</v>
      </c>
      <c r="I474" s="10" t="b">
        <v>0</v>
      </c>
    </row>
    <row r="475" spans="3:9" x14ac:dyDescent="0.3">
      <c r="C475" s="10">
        <v>70</v>
      </c>
      <c r="D475" s="10">
        <v>1706089</v>
      </c>
      <c r="E475" s="10" t="s">
        <v>20</v>
      </c>
      <c r="F475" s="10">
        <v>4.36E-2</v>
      </c>
      <c r="G475" s="10">
        <v>0.95640000000000003</v>
      </c>
      <c r="H475" s="10" t="s">
        <v>45</v>
      </c>
      <c r="I475" s="10" t="b">
        <v>0</v>
      </c>
    </row>
    <row r="476" spans="3:9" x14ac:dyDescent="0.3">
      <c r="C476" s="10">
        <v>192</v>
      </c>
      <c r="D476" s="10">
        <v>1706228</v>
      </c>
      <c r="E476" s="10" t="s">
        <v>20</v>
      </c>
      <c r="F476" s="10">
        <v>4.3499999999999997E-2</v>
      </c>
      <c r="G476" s="10">
        <v>0.95650000000000002</v>
      </c>
      <c r="H476" s="10" t="s">
        <v>38</v>
      </c>
      <c r="I476" s="10" t="b">
        <v>0</v>
      </c>
    </row>
    <row r="477" spans="3:9" x14ac:dyDescent="0.3">
      <c r="C477" s="10">
        <v>1</v>
      </c>
      <c r="D477" s="10">
        <v>1706002</v>
      </c>
      <c r="E477" s="10" t="s">
        <v>20</v>
      </c>
      <c r="F477" s="10">
        <v>4.3400000000000001E-2</v>
      </c>
      <c r="G477" s="10">
        <v>0.95660000000000001</v>
      </c>
      <c r="H477" s="10" t="s">
        <v>38</v>
      </c>
      <c r="I477" s="10" t="b">
        <v>0</v>
      </c>
    </row>
    <row r="478" spans="3:9" x14ac:dyDescent="0.3">
      <c r="C478" s="10">
        <v>78</v>
      </c>
      <c r="D478" s="10">
        <v>1706098</v>
      </c>
      <c r="E478" s="10" t="s">
        <v>20</v>
      </c>
      <c r="F478" s="10">
        <v>4.3099999999999999E-2</v>
      </c>
      <c r="G478" s="10">
        <v>0.95689999999999997</v>
      </c>
      <c r="H478" s="10" t="s">
        <v>38</v>
      </c>
      <c r="I478" s="10" t="b">
        <v>0</v>
      </c>
    </row>
    <row r="479" spans="3:9" x14ac:dyDescent="0.3">
      <c r="C479" s="10">
        <v>174</v>
      </c>
      <c r="D479" s="10">
        <v>1705209</v>
      </c>
      <c r="E479" s="10" t="s">
        <v>20</v>
      </c>
      <c r="F479" s="10">
        <v>4.24E-2</v>
      </c>
      <c r="G479" s="10">
        <v>0.95760000000000001</v>
      </c>
      <c r="H479" s="10" t="s">
        <v>31</v>
      </c>
      <c r="I479" s="10" t="b">
        <v>0</v>
      </c>
    </row>
    <row r="480" spans="3:9" x14ac:dyDescent="0.3">
      <c r="C480" s="10">
        <v>284</v>
      </c>
      <c r="D480" s="10">
        <v>1705383</v>
      </c>
      <c r="E480" s="10" t="s">
        <v>20</v>
      </c>
      <c r="F480" s="10">
        <v>4.19E-2</v>
      </c>
      <c r="G480" s="10">
        <v>0.95809999999999995</v>
      </c>
      <c r="H480" s="10" t="s">
        <v>31</v>
      </c>
      <c r="I480" s="10" t="b">
        <v>0</v>
      </c>
    </row>
    <row r="481" spans="3:9" x14ac:dyDescent="0.3">
      <c r="C481" s="10">
        <v>257</v>
      </c>
      <c r="D481" s="10">
        <v>1706329</v>
      </c>
      <c r="E481" s="10" t="s">
        <v>20</v>
      </c>
      <c r="F481" s="10">
        <v>4.1500000000000002E-2</v>
      </c>
      <c r="G481" s="10">
        <v>0.95850000000000002</v>
      </c>
      <c r="H481" s="10" t="s">
        <v>31</v>
      </c>
      <c r="I481" s="10" t="b">
        <v>0</v>
      </c>
    </row>
    <row r="482" spans="3:9" x14ac:dyDescent="0.3">
      <c r="C482" s="10">
        <v>36</v>
      </c>
      <c r="D482" s="10">
        <v>1705040</v>
      </c>
      <c r="E482" s="10" t="s">
        <v>20</v>
      </c>
      <c r="F482" s="10">
        <v>4.1399999999999999E-2</v>
      </c>
      <c r="G482" s="10">
        <v>0.95860000000000001</v>
      </c>
      <c r="H482" s="10" t="s">
        <v>38</v>
      </c>
      <c r="I482" s="10" t="b">
        <v>0</v>
      </c>
    </row>
    <row r="483" spans="3:9" x14ac:dyDescent="0.3">
      <c r="C483" s="10">
        <v>257</v>
      </c>
      <c r="D483" s="10">
        <v>1705322</v>
      </c>
      <c r="E483" s="10" t="s">
        <v>20</v>
      </c>
      <c r="F483" s="10">
        <v>4.1300000000000003E-2</v>
      </c>
      <c r="G483" s="10">
        <v>0.9587</v>
      </c>
      <c r="H483" s="10" t="s">
        <v>31</v>
      </c>
      <c r="I483" s="10" t="b">
        <v>0</v>
      </c>
    </row>
    <row r="484" spans="3:9" x14ac:dyDescent="0.3">
      <c r="C484" s="10">
        <v>27</v>
      </c>
      <c r="D484" s="10">
        <v>1706035</v>
      </c>
      <c r="E484" s="10" t="s">
        <v>20</v>
      </c>
      <c r="F484" s="10">
        <v>4.1300000000000003E-2</v>
      </c>
      <c r="G484" s="10">
        <v>0.9587</v>
      </c>
      <c r="H484" s="10" t="s">
        <v>38</v>
      </c>
      <c r="I484" s="10" t="b">
        <v>0</v>
      </c>
    </row>
    <row r="485" spans="3:9" x14ac:dyDescent="0.3">
      <c r="C485" s="10">
        <v>231</v>
      </c>
      <c r="D485" s="10">
        <v>1705277</v>
      </c>
      <c r="E485" s="10" t="s">
        <v>20</v>
      </c>
      <c r="F485" s="10">
        <v>4.1000000000000002E-2</v>
      </c>
      <c r="G485" s="10">
        <v>0.95899999999999996</v>
      </c>
      <c r="H485" s="10" t="s">
        <v>31</v>
      </c>
      <c r="I485" s="10" t="b">
        <v>0</v>
      </c>
    </row>
    <row r="486" spans="3:9" x14ac:dyDescent="0.3">
      <c r="C486" s="10">
        <v>74</v>
      </c>
      <c r="D486" s="10">
        <v>1706094</v>
      </c>
      <c r="E486" s="10" t="s">
        <v>20</v>
      </c>
      <c r="F486" s="10">
        <v>4.1000000000000002E-2</v>
      </c>
      <c r="G486" s="10">
        <v>0.95899999999999996</v>
      </c>
      <c r="H486" s="10" t="s">
        <v>38</v>
      </c>
      <c r="I486" s="10" t="b">
        <v>0</v>
      </c>
    </row>
    <row r="487" spans="3:9" x14ac:dyDescent="0.3">
      <c r="C487" s="10">
        <v>26</v>
      </c>
      <c r="D487" s="10">
        <v>1706034</v>
      </c>
      <c r="E487" s="10" t="s">
        <v>20</v>
      </c>
      <c r="F487" s="10">
        <v>4.0899999999999999E-2</v>
      </c>
      <c r="G487" s="10">
        <v>0.95909999999999995</v>
      </c>
      <c r="H487" s="10" t="s">
        <v>31</v>
      </c>
      <c r="I487" s="10" t="b">
        <v>0</v>
      </c>
    </row>
    <row r="488" spans="3:9" x14ac:dyDescent="0.3">
      <c r="C488" s="10">
        <v>107</v>
      </c>
      <c r="D488" s="10">
        <v>1706129</v>
      </c>
      <c r="E488" s="10" t="s">
        <v>20</v>
      </c>
      <c r="F488" s="10">
        <v>4.0300000000000002E-2</v>
      </c>
      <c r="G488" s="10">
        <v>0.9597</v>
      </c>
      <c r="H488" s="10" t="s">
        <v>38</v>
      </c>
      <c r="I488" s="10" t="b">
        <v>0</v>
      </c>
    </row>
    <row r="489" spans="3:9" x14ac:dyDescent="0.3">
      <c r="C489" s="10">
        <v>170</v>
      </c>
      <c r="D489" s="10">
        <v>1706204</v>
      </c>
      <c r="E489" s="10" t="s">
        <v>20</v>
      </c>
      <c r="F489" s="10">
        <v>4.0300000000000002E-2</v>
      </c>
      <c r="G489" s="10">
        <v>0.9597</v>
      </c>
      <c r="H489" s="10" t="s">
        <v>38</v>
      </c>
      <c r="I489" s="10" t="b">
        <v>0</v>
      </c>
    </row>
    <row r="490" spans="3:9" x14ac:dyDescent="0.3">
      <c r="C490" s="10">
        <v>111</v>
      </c>
      <c r="D490" s="10">
        <v>1706136</v>
      </c>
      <c r="E490" s="10" t="s">
        <v>20</v>
      </c>
      <c r="F490" s="10">
        <v>3.9699999999999999E-2</v>
      </c>
      <c r="G490" s="10">
        <v>0.96030000000000004</v>
      </c>
      <c r="H490" s="10" t="s">
        <v>31</v>
      </c>
      <c r="I490" s="10" t="b">
        <v>0</v>
      </c>
    </row>
    <row r="491" spans="3:9" x14ac:dyDescent="0.3">
      <c r="C491" s="10">
        <v>226</v>
      </c>
      <c r="D491" s="10">
        <v>1705269</v>
      </c>
      <c r="E491" s="10" t="s">
        <v>20</v>
      </c>
      <c r="F491" s="10">
        <v>3.7900000000000003E-2</v>
      </c>
      <c r="G491" s="10">
        <v>0.96209999999999996</v>
      </c>
      <c r="H491" s="10" t="s">
        <v>38</v>
      </c>
      <c r="I491" s="10" t="b">
        <v>0</v>
      </c>
    </row>
    <row r="492" spans="3:9" x14ac:dyDescent="0.3">
      <c r="C492" s="10">
        <v>161</v>
      </c>
      <c r="D492" s="10">
        <v>1706195</v>
      </c>
      <c r="E492" s="10" t="s">
        <v>20</v>
      </c>
      <c r="F492" s="10">
        <v>3.6700000000000003E-2</v>
      </c>
      <c r="G492" s="10">
        <v>0.96330000000000005</v>
      </c>
      <c r="H492" s="10" t="s">
        <v>38</v>
      </c>
      <c r="I492" s="10" t="b">
        <v>0</v>
      </c>
    </row>
    <row r="493" spans="3:9" x14ac:dyDescent="0.3">
      <c r="C493" s="10">
        <v>127</v>
      </c>
      <c r="D493" s="10">
        <v>1706154</v>
      </c>
      <c r="E493" s="10" t="s">
        <v>20</v>
      </c>
      <c r="F493" s="10">
        <v>3.6400000000000002E-2</v>
      </c>
      <c r="G493" s="10">
        <v>0.96360000000000001</v>
      </c>
      <c r="H493" s="10" t="s">
        <v>38</v>
      </c>
      <c r="I493" s="10" t="b">
        <v>0</v>
      </c>
    </row>
    <row r="494" spans="3:9" x14ac:dyDescent="0.3">
      <c r="C494" s="10">
        <v>247</v>
      </c>
      <c r="D494" s="10">
        <v>1706313</v>
      </c>
      <c r="E494" s="10" t="s">
        <v>20</v>
      </c>
      <c r="F494" s="10">
        <v>3.6400000000000002E-2</v>
      </c>
      <c r="G494" s="10">
        <v>0.96360000000000001</v>
      </c>
      <c r="H494" s="10" t="s">
        <v>38</v>
      </c>
      <c r="I494" s="10" t="b">
        <v>0</v>
      </c>
    </row>
    <row r="495" spans="3:9" x14ac:dyDescent="0.3">
      <c r="C495" s="10">
        <v>203</v>
      </c>
      <c r="D495" s="10">
        <v>1705240</v>
      </c>
      <c r="E495" s="10" t="s">
        <v>20</v>
      </c>
      <c r="F495" s="10">
        <v>3.61E-2</v>
      </c>
      <c r="G495" s="10">
        <v>0.96389999999999998</v>
      </c>
      <c r="H495" s="10" t="s">
        <v>38</v>
      </c>
      <c r="I495" s="10" t="b">
        <v>0</v>
      </c>
    </row>
    <row r="496" spans="3:9" x14ac:dyDescent="0.3">
      <c r="C496" s="10">
        <v>188</v>
      </c>
      <c r="D496" s="10">
        <v>1705224</v>
      </c>
      <c r="E496" s="10" t="s">
        <v>20</v>
      </c>
      <c r="F496" s="10">
        <v>3.5700000000000003E-2</v>
      </c>
      <c r="G496" s="10">
        <v>0.96430000000000005</v>
      </c>
      <c r="H496" s="10" t="s">
        <v>38</v>
      </c>
      <c r="I496" s="10" t="b">
        <v>0</v>
      </c>
    </row>
    <row r="497" spans="3:9" x14ac:dyDescent="0.3">
      <c r="C497" s="10">
        <v>138</v>
      </c>
      <c r="D497" s="10">
        <v>1706168</v>
      </c>
      <c r="E497" s="10" t="s">
        <v>20</v>
      </c>
      <c r="F497" s="10">
        <v>3.4799999999999998E-2</v>
      </c>
      <c r="G497" s="10">
        <v>0.96519999999999995</v>
      </c>
      <c r="H497" s="10" t="s">
        <v>38</v>
      </c>
      <c r="I497" s="10" t="b">
        <v>0</v>
      </c>
    </row>
    <row r="498" spans="3:9" x14ac:dyDescent="0.3">
      <c r="C498" s="10">
        <v>51</v>
      </c>
      <c r="D498" s="10">
        <v>1706064</v>
      </c>
      <c r="E498" s="10" t="s">
        <v>20</v>
      </c>
      <c r="F498" s="10">
        <v>3.4099999999999998E-2</v>
      </c>
      <c r="G498" s="10">
        <v>0.96589999999999998</v>
      </c>
      <c r="H498" s="10" t="s">
        <v>31</v>
      </c>
      <c r="I498" s="10" t="b">
        <v>0</v>
      </c>
    </row>
    <row r="499" spans="3:9" x14ac:dyDescent="0.3">
      <c r="C499" s="10">
        <v>132</v>
      </c>
      <c r="D499" s="10">
        <v>1706160</v>
      </c>
      <c r="E499" s="10" t="s">
        <v>20</v>
      </c>
      <c r="F499" s="10">
        <v>3.4000000000000002E-2</v>
      </c>
      <c r="G499" s="10">
        <v>0.96599999999999997</v>
      </c>
      <c r="H499" s="10" t="s">
        <v>38</v>
      </c>
      <c r="I499" s="10" t="b">
        <v>0</v>
      </c>
    </row>
    <row r="500" spans="3:9" x14ac:dyDescent="0.3">
      <c r="C500" s="10">
        <v>133</v>
      </c>
      <c r="D500" s="10">
        <v>1706162</v>
      </c>
      <c r="E500" s="10" t="s">
        <v>20</v>
      </c>
      <c r="F500" s="10">
        <v>3.3700000000000001E-2</v>
      </c>
      <c r="G500" s="10">
        <v>0.96630000000000005</v>
      </c>
      <c r="H500" s="10" t="s">
        <v>38</v>
      </c>
      <c r="I500" s="10" t="b">
        <v>0</v>
      </c>
    </row>
    <row r="501" spans="3:9" x14ac:dyDescent="0.3">
      <c r="C501" s="10">
        <v>57</v>
      </c>
      <c r="D501" s="10">
        <v>1706070</v>
      </c>
      <c r="E501" s="10" t="s">
        <v>20</v>
      </c>
      <c r="F501" s="10">
        <v>3.3599999999999998E-2</v>
      </c>
      <c r="G501" s="10">
        <v>0.96640000000000004</v>
      </c>
      <c r="H501" s="10" t="s">
        <v>31</v>
      </c>
      <c r="I501" s="10" t="b">
        <v>0</v>
      </c>
    </row>
    <row r="502" spans="3:9" x14ac:dyDescent="0.3">
      <c r="C502" s="10">
        <v>282</v>
      </c>
      <c r="D502" s="10">
        <v>1705379</v>
      </c>
      <c r="E502" s="10" t="s">
        <v>20</v>
      </c>
      <c r="F502" s="10">
        <v>3.3300000000000003E-2</v>
      </c>
      <c r="G502" s="10">
        <v>0.9667</v>
      </c>
      <c r="H502" s="10" t="s">
        <v>31</v>
      </c>
      <c r="I502" s="10" t="b">
        <v>0</v>
      </c>
    </row>
    <row r="503" spans="3:9" x14ac:dyDescent="0.3">
      <c r="C503" s="10">
        <v>267</v>
      </c>
      <c r="D503" s="10">
        <v>1706342</v>
      </c>
      <c r="E503" s="10" t="s">
        <v>20</v>
      </c>
      <c r="F503" s="10">
        <v>3.3099999999999997E-2</v>
      </c>
      <c r="G503" s="10">
        <v>0.96689999999999998</v>
      </c>
      <c r="H503" s="10" t="s">
        <v>31</v>
      </c>
      <c r="I503" s="10" t="b">
        <v>0</v>
      </c>
    </row>
    <row r="504" spans="3:9" x14ac:dyDescent="0.3">
      <c r="C504" s="10">
        <v>27</v>
      </c>
      <c r="D504" s="10">
        <v>1705030</v>
      </c>
      <c r="E504" s="10" t="s">
        <v>20</v>
      </c>
      <c r="F504" s="10">
        <v>3.2800000000000003E-2</v>
      </c>
      <c r="G504" s="10">
        <v>0.96719999999999995</v>
      </c>
      <c r="H504" s="10" t="s">
        <v>31</v>
      </c>
      <c r="I504" s="10" t="b">
        <v>0</v>
      </c>
    </row>
    <row r="505" spans="3:9" x14ac:dyDescent="0.3">
      <c r="C505" s="10">
        <v>39</v>
      </c>
      <c r="D505" s="10">
        <v>1706050</v>
      </c>
      <c r="E505" s="10" t="s">
        <v>20</v>
      </c>
      <c r="F505" s="10">
        <v>3.2199999999999999E-2</v>
      </c>
      <c r="G505" s="10">
        <v>0.96779999999999999</v>
      </c>
      <c r="H505" s="10" t="s">
        <v>38</v>
      </c>
      <c r="I505" s="10" t="b">
        <v>0</v>
      </c>
    </row>
    <row r="506" spans="3:9" x14ac:dyDescent="0.3">
      <c r="C506" s="10">
        <v>288</v>
      </c>
      <c r="D506" s="10">
        <v>1705387</v>
      </c>
      <c r="E506" s="10" t="s">
        <v>20</v>
      </c>
      <c r="F506" s="10">
        <v>3.2099999999999997E-2</v>
      </c>
      <c r="G506" s="10">
        <v>0.96789999999999998</v>
      </c>
      <c r="H506" s="10" t="s">
        <v>38</v>
      </c>
      <c r="I506" s="10" t="b">
        <v>0</v>
      </c>
    </row>
    <row r="507" spans="3:9" x14ac:dyDescent="0.3">
      <c r="C507" s="10">
        <v>46</v>
      </c>
      <c r="D507" s="10">
        <v>1706059</v>
      </c>
      <c r="E507" s="10" t="s">
        <v>20</v>
      </c>
      <c r="F507" s="10">
        <v>3.1800000000000002E-2</v>
      </c>
      <c r="G507" s="10">
        <v>0.96819999999999995</v>
      </c>
      <c r="H507" s="10" t="s">
        <v>41</v>
      </c>
      <c r="I507" s="10" t="b">
        <v>0</v>
      </c>
    </row>
    <row r="508" spans="3:9" x14ac:dyDescent="0.3">
      <c r="C508" s="10">
        <v>209</v>
      </c>
      <c r="D508" s="10">
        <v>1705249</v>
      </c>
      <c r="E508" s="10" t="s">
        <v>20</v>
      </c>
      <c r="F508" s="10">
        <v>3.15E-2</v>
      </c>
      <c r="G508" s="10">
        <v>0.96850000000000003</v>
      </c>
      <c r="H508" s="10" t="s">
        <v>38</v>
      </c>
      <c r="I508" s="10" t="b">
        <v>0</v>
      </c>
    </row>
    <row r="509" spans="3:9" x14ac:dyDescent="0.3">
      <c r="C509" s="10">
        <v>17</v>
      </c>
      <c r="D509" s="10">
        <v>1705018</v>
      </c>
      <c r="E509" s="10" t="s">
        <v>20</v>
      </c>
      <c r="F509" s="10">
        <v>3.1300000000000001E-2</v>
      </c>
      <c r="G509" s="10">
        <v>0.96870000000000001</v>
      </c>
      <c r="H509" s="10" t="s">
        <v>31</v>
      </c>
      <c r="I509" s="10" t="b">
        <v>0</v>
      </c>
    </row>
    <row r="510" spans="3:9" x14ac:dyDescent="0.3">
      <c r="C510" s="10">
        <v>69</v>
      </c>
      <c r="D510" s="10">
        <v>1706088</v>
      </c>
      <c r="E510" s="10" t="s">
        <v>20</v>
      </c>
      <c r="F510" s="10">
        <v>3.1199999999999999E-2</v>
      </c>
      <c r="G510" s="10">
        <v>0.96879999999999999</v>
      </c>
      <c r="H510" s="10" t="s">
        <v>38</v>
      </c>
      <c r="I510" s="10" t="b">
        <v>0</v>
      </c>
    </row>
    <row r="511" spans="3:9" x14ac:dyDescent="0.3">
      <c r="C511" s="10">
        <v>18</v>
      </c>
      <c r="D511" s="10">
        <v>1705019</v>
      </c>
      <c r="E511" s="10" t="s">
        <v>20</v>
      </c>
      <c r="F511" s="10">
        <v>3.09E-2</v>
      </c>
      <c r="G511" s="10">
        <v>0.96909999999999996</v>
      </c>
      <c r="H511" s="10" t="s">
        <v>38</v>
      </c>
      <c r="I511" s="10" t="b">
        <v>0</v>
      </c>
    </row>
    <row r="512" spans="3:9" x14ac:dyDescent="0.3">
      <c r="C512" s="10">
        <v>126</v>
      </c>
      <c r="D512" s="10">
        <v>1705147</v>
      </c>
      <c r="E512" s="10" t="s">
        <v>20</v>
      </c>
      <c r="F512" s="10">
        <v>3.0800000000000001E-2</v>
      </c>
      <c r="G512" s="10">
        <v>0.96919999999999995</v>
      </c>
      <c r="H512" s="10" t="s">
        <v>31</v>
      </c>
      <c r="I512" s="10" t="b">
        <v>0</v>
      </c>
    </row>
    <row r="513" spans="3:9" x14ac:dyDescent="0.3">
      <c r="C513" s="10">
        <v>82</v>
      </c>
      <c r="D513" s="10">
        <v>1705097</v>
      </c>
      <c r="E513" s="10" t="s">
        <v>20</v>
      </c>
      <c r="F513" s="10">
        <v>3.0700000000000002E-2</v>
      </c>
      <c r="G513" s="10">
        <v>0.96930000000000005</v>
      </c>
      <c r="H513" s="10" t="s">
        <v>38</v>
      </c>
      <c r="I513" s="10" t="b">
        <v>0</v>
      </c>
    </row>
    <row r="514" spans="3:9" x14ac:dyDescent="0.3">
      <c r="C514" s="10">
        <v>147</v>
      </c>
      <c r="D514" s="10">
        <v>1706179</v>
      </c>
      <c r="E514" s="10" t="s">
        <v>20</v>
      </c>
      <c r="F514" s="10">
        <v>3.0099999999999998E-2</v>
      </c>
      <c r="G514" s="10">
        <v>0.96989999999999998</v>
      </c>
      <c r="H514" s="10" t="s">
        <v>38</v>
      </c>
      <c r="I514" s="10" t="b">
        <v>0</v>
      </c>
    </row>
    <row r="515" spans="3:9" x14ac:dyDescent="0.3">
      <c r="C515" s="10">
        <v>148</v>
      </c>
      <c r="D515" s="10">
        <v>1706181</v>
      </c>
      <c r="E515" s="10" t="s">
        <v>20</v>
      </c>
      <c r="F515" s="10">
        <v>3.0099999999999998E-2</v>
      </c>
      <c r="G515" s="10">
        <v>0.96989999999999998</v>
      </c>
      <c r="H515" s="10" t="s">
        <v>31</v>
      </c>
      <c r="I515" s="10" t="b">
        <v>0</v>
      </c>
    </row>
    <row r="516" spans="3:9" x14ac:dyDescent="0.3">
      <c r="C516" s="10">
        <v>20</v>
      </c>
      <c r="D516" s="10">
        <v>1706027</v>
      </c>
      <c r="E516" s="10" t="s">
        <v>20</v>
      </c>
      <c r="F516" s="10">
        <v>2.9899999999999999E-2</v>
      </c>
      <c r="G516" s="10">
        <v>0.97009999999999996</v>
      </c>
      <c r="H516" s="10" t="s">
        <v>45</v>
      </c>
      <c r="I516" s="10" t="b">
        <v>0</v>
      </c>
    </row>
    <row r="517" spans="3:9" x14ac:dyDescent="0.3">
      <c r="C517" s="10">
        <v>197</v>
      </c>
      <c r="D517" s="10">
        <v>1705234</v>
      </c>
      <c r="E517" s="10" t="s">
        <v>20</v>
      </c>
      <c r="F517" s="10">
        <v>2.9700000000000001E-2</v>
      </c>
      <c r="G517" s="10">
        <v>0.97030000000000005</v>
      </c>
      <c r="H517" s="10" t="s">
        <v>38</v>
      </c>
      <c r="I517" s="10" t="b">
        <v>0</v>
      </c>
    </row>
    <row r="518" spans="3:9" x14ac:dyDescent="0.3">
      <c r="C518" s="10">
        <v>32</v>
      </c>
      <c r="D518" s="10">
        <v>1706041</v>
      </c>
      <c r="E518" s="10" t="s">
        <v>20</v>
      </c>
      <c r="F518" s="10">
        <v>2.9600000000000001E-2</v>
      </c>
      <c r="G518" s="10">
        <v>0.97040000000000004</v>
      </c>
      <c r="H518" s="10" t="s">
        <v>38</v>
      </c>
      <c r="I518" s="10" t="b">
        <v>0</v>
      </c>
    </row>
    <row r="519" spans="3:9" x14ac:dyDescent="0.3">
      <c r="C519" s="10">
        <v>128</v>
      </c>
      <c r="D519" s="10">
        <v>1706155</v>
      </c>
      <c r="E519" s="10" t="s">
        <v>20</v>
      </c>
      <c r="F519" s="10">
        <v>2.9600000000000001E-2</v>
      </c>
      <c r="G519" s="10">
        <v>0.97040000000000004</v>
      </c>
      <c r="H519" s="10" t="s">
        <v>38</v>
      </c>
      <c r="I519" s="10" t="b">
        <v>0</v>
      </c>
    </row>
    <row r="520" spans="3:9" x14ac:dyDescent="0.3">
      <c r="C520" s="10">
        <v>200</v>
      </c>
      <c r="D520" s="10">
        <v>1706236</v>
      </c>
      <c r="E520" s="10" t="s">
        <v>20</v>
      </c>
      <c r="F520" s="10">
        <v>2.9600000000000001E-2</v>
      </c>
      <c r="G520" s="10">
        <v>0.97040000000000004</v>
      </c>
      <c r="H520" s="10" t="s">
        <v>38</v>
      </c>
      <c r="I520" s="10" t="b">
        <v>0</v>
      </c>
    </row>
    <row r="521" spans="3:9" x14ac:dyDescent="0.3">
      <c r="C521" s="10">
        <v>17</v>
      </c>
      <c r="D521" s="10">
        <v>1706024</v>
      </c>
      <c r="E521" s="10" t="s">
        <v>20</v>
      </c>
      <c r="F521" s="10">
        <v>2.86E-2</v>
      </c>
      <c r="G521" s="10">
        <v>0.97140000000000004</v>
      </c>
      <c r="H521" s="10" t="s">
        <v>31</v>
      </c>
      <c r="I521" s="10" t="b">
        <v>0</v>
      </c>
    </row>
    <row r="522" spans="3:9" x14ac:dyDescent="0.3">
      <c r="C522" s="10">
        <v>25</v>
      </c>
      <c r="D522" s="10">
        <v>1706033</v>
      </c>
      <c r="E522" s="10" t="s">
        <v>20</v>
      </c>
      <c r="F522" s="10">
        <v>2.7099999999999999E-2</v>
      </c>
      <c r="G522" s="10">
        <v>0.97289999999999999</v>
      </c>
      <c r="H522" s="10" t="s">
        <v>38</v>
      </c>
      <c r="I522" s="10" t="b">
        <v>0</v>
      </c>
    </row>
    <row r="523" spans="3:9" x14ac:dyDescent="0.3">
      <c r="C523" s="10">
        <v>113</v>
      </c>
      <c r="D523" s="10">
        <v>1706138</v>
      </c>
      <c r="E523" s="10" t="s">
        <v>20</v>
      </c>
      <c r="F523" s="10">
        <v>2.6800000000000001E-2</v>
      </c>
      <c r="G523" s="10">
        <v>0.97319999999999995</v>
      </c>
      <c r="H523" s="10" t="s">
        <v>38</v>
      </c>
      <c r="I523" s="10" t="b">
        <v>0</v>
      </c>
    </row>
    <row r="524" spans="3:9" x14ac:dyDescent="0.3">
      <c r="C524" s="10">
        <v>114</v>
      </c>
      <c r="D524" s="10">
        <v>1706140</v>
      </c>
      <c r="E524" s="10" t="s">
        <v>20</v>
      </c>
      <c r="F524" s="10">
        <v>2.6700000000000002E-2</v>
      </c>
      <c r="G524" s="10">
        <v>0.97330000000000005</v>
      </c>
      <c r="H524" s="10" t="s">
        <v>38</v>
      </c>
      <c r="I524" s="10" t="b">
        <v>0</v>
      </c>
    </row>
    <row r="525" spans="3:9" x14ac:dyDescent="0.3">
      <c r="C525" s="10">
        <v>144</v>
      </c>
      <c r="D525" s="10">
        <v>1706176</v>
      </c>
      <c r="E525" s="10" t="s">
        <v>20</v>
      </c>
      <c r="F525" s="10">
        <v>2.6700000000000002E-2</v>
      </c>
      <c r="G525" s="10">
        <v>0.97330000000000005</v>
      </c>
      <c r="H525" s="10" t="s">
        <v>38</v>
      </c>
      <c r="I525" s="10" t="b">
        <v>0</v>
      </c>
    </row>
    <row r="526" spans="3:9" x14ac:dyDescent="0.3">
      <c r="C526" s="10">
        <v>206</v>
      </c>
      <c r="D526" s="10">
        <v>1705246</v>
      </c>
      <c r="E526" s="10" t="s">
        <v>20</v>
      </c>
      <c r="F526" s="10">
        <v>2.64E-2</v>
      </c>
      <c r="G526" s="10">
        <v>0.97360000000000002</v>
      </c>
      <c r="H526" s="10" t="s">
        <v>38</v>
      </c>
      <c r="I526" s="10" t="b">
        <v>0</v>
      </c>
    </row>
    <row r="527" spans="3:9" x14ac:dyDescent="0.3">
      <c r="C527" s="10">
        <v>280</v>
      </c>
      <c r="D527" s="10">
        <v>1705367</v>
      </c>
      <c r="E527" s="10" t="s">
        <v>20</v>
      </c>
      <c r="F527" s="10">
        <v>2.63E-2</v>
      </c>
      <c r="G527" s="10">
        <v>0.97370000000000001</v>
      </c>
      <c r="H527" s="10" t="s">
        <v>38</v>
      </c>
      <c r="I527" s="10" t="b">
        <v>0</v>
      </c>
    </row>
    <row r="528" spans="3:9" x14ac:dyDescent="0.3">
      <c r="C528" s="10">
        <v>38</v>
      </c>
      <c r="D528" s="10">
        <v>1706049</v>
      </c>
      <c r="E528" s="10" t="s">
        <v>20</v>
      </c>
      <c r="F528" s="10">
        <v>2.63E-2</v>
      </c>
      <c r="G528" s="10">
        <v>0.97370000000000001</v>
      </c>
      <c r="H528" s="10" t="s">
        <v>38</v>
      </c>
      <c r="I528" s="10" t="b">
        <v>0</v>
      </c>
    </row>
    <row r="529" spans="3:9" x14ac:dyDescent="0.3">
      <c r="C529" s="10">
        <v>164</v>
      </c>
      <c r="D529" s="10">
        <v>1706198</v>
      </c>
      <c r="E529" s="10" t="s">
        <v>20</v>
      </c>
      <c r="F529" s="10">
        <v>2.6100000000000002E-2</v>
      </c>
      <c r="G529" s="10">
        <v>0.97389999999999999</v>
      </c>
      <c r="H529" s="10" t="s">
        <v>38</v>
      </c>
      <c r="I529" s="10" t="b">
        <v>0</v>
      </c>
    </row>
    <row r="530" spans="3:9" x14ac:dyDescent="0.3">
      <c r="C530" s="10">
        <v>34</v>
      </c>
      <c r="D530" s="10">
        <v>1706043</v>
      </c>
      <c r="E530" s="10" t="s">
        <v>20</v>
      </c>
      <c r="F530" s="10">
        <v>2.5999999999999999E-2</v>
      </c>
      <c r="G530" s="10">
        <v>0.97399999999999998</v>
      </c>
      <c r="H530" s="10" t="s">
        <v>38</v>
      </c>
      <c r="I530" s="10" t="b">
        <v>0</v>
      </c>
    </row>
    <row r="531" spans="3:9" x14ac:dyDescent="0.3">
      <c r="C531" s="10">
        <v>41</v>
      </c>
      <c r="D531" s="10">
        <v>1706051</v>
      </c>
      <c r="E531" s="10" t="s">
        <v>20</v>
      </c>
      <c r="F531" s="10">
        <v>2.5999999999999999E-2</v>
      </c>
      <c r="G531" s="10">
        <v>0.97399999999999998</v>
      </c>
      <c r="H531" s="10" t="s">
        <v>38</v>
      </c>
      <c r="I531" s="10" t="b">
        <v>0</v>
      </c>
    </row>
    <row r="532" spans="3:9" x14ac:dyDescent="0.3">
      <c r="C532" s="10">
        <v>49</v>
      </c>
      <c r="D532" s="10">
        <v>1706062</v>
      </c>
      <c r="E532" s="10" t="s">
        <v>20</v>
      </c>
      <c r="F532" s="10">
        <v>2.5499999999999998E-2</v>
      </c>
      <c r="G532" s="10">
        <v>0.97450000000000003</v>
      </c>
      <c r="H532" s="10" t="s">
        <v>38</v>
      </c>
      <c r="I532" s="10" t="b">
        <v>0</v>
      </c>
    </row>
    <row r="533" spans="3:9" x14ac:dyDescent="0.3">
      <c r="C533" s="10">
        <v>299</v>
      </c>
      <c r="D533" s="10">
        <v>1705403</v>
      </c>
      <c r="E533" s="10" t="s">
        <v>20</v>
      </c>
      <c r="F533" s="10">
        <v>2.5100000000000001E-2</v>
      </c>
      <c r="G533" s="10">
        <v>0.97489999999999999</v>
      </c>
      <c r="H533" s="10" t="s">
        <v>31</v>
      </c>
      <c r="I533" s="10" t="b">
        <v>0</v>
      </c>
    </row>
    <row r="534" spans="3:9" x14ac:dyDescent="0.3">
      <c r="C534" s="10">
        <v>190</v>
      </c>
      <c r="D534" s="10">
        <v>1705226</v>
      </c>
      <c r="E534" s="10" t="s">
        <v>20</v>
      </c>
      <c r="F534" s="10">
        <v>2.3699999999999999E-2</v>
      </c>
      <c r="G534" s="10">
        <v>0.97629999999999995</v>
      </c>
      <c r="H534" s="10" t="s">
        <v>38</v>
      </c>
      <c r="I534" s="10" t="b">
        <v>0</v>
      </c>
    </row>
    <row r="535" spans="3:9" x14ac:dyDescent="0.3">
      <c r="C535" s="10">
        <v>47</v>
      </c>
      <c r="D535" s="10">
        <v>1706060</v>
      </c>
      <c r="E535" s="10" t="s">
        <v>20</v>
      </c>
      <c r="F535" s="10">
        <v>2.2499999999999999E-2</v>
      </c>
      <c r="G535" s="10">
        <v>0.97750000000000004</v>
      </c>
      <c r="H535" s="10" t="s">
        <v>38</v>
      </c>
      <c r="I535" s="10" t="b">
        <v>0</v>
      </c>
    </row>
    <row r="536" spans="3:9" x14ac:dyDescent="0.3">
      <c r="C536" s="10">
        <v>165</v>
      </c>
      <c r="D536" s="10">
        <v>1706199</v>
      </c>
      <c r="E536" s="10" t="s">
        <v>20</v>
      </c>
      <c r="F536" s="10">
        <v>2.1499999999999998E-2</v>
      </c>
      <c r="G536" s="10">
        <v>0.97850000000000004</v>
      </c>
      <c r="H536" s="10" t="s">
        <v>38</v>
      </c>
      <c r="I536" s="10" t="b">
        <v>0</v>
      </c>
    </row>
    <row r="537" spans="3:9" x14ac:dyDescent="0.3">
      <c r="C537" s="10">
        <v>69</v>
      </c>
      <c r="D537" s="10">
        <v>1705080</v>
      </c>
      <c r="E537" s="10" t="s">
        <v>20</v>
      </c>
      <c r="F537" s="10">
        <v>2.1399999999999999E-2</v>
      </c>
      <c r="G537" s="10">
        <v>0.97860000000000003</v>
      </c>
      <c r="H537" s="10" t="s">
        <v>31</v>
      </c>
      <c r="I537" s="10" t="b">
        <v>0</v>
      </c>
    </row>
    <row r="538" spans="3:9" x14ac:dyDescent="0.3">
      <c r="C538" s="10">
        <v>275</v>
      </c>
      <c r="D538" s="10">
        <v>1705352</v>
      </c>
      <c r="E538" s="10" t="s">
        <v>20</v>
      </c>
      <c r="F538" s="10">
        <v>2.1399999999999999E-2</v>
      </c>
      <c r="G538" s="10">
        <v>0.97860000000000003</v>
      </c>
      <c r="H538" s="10" t="s">
        <v>38</v>
      </c>
      <c r="I538" s="10" t="b">
        <v>0</v>
      </c>
    </row>
    <row r="539" spans="3:9" x14ac:dyDescent="0.3">
      <c r="C539" s="10">
        <v>108</v>
      </c>
      <c r="D539" s="10">
        <v>1705128</v>
      </c>
      <c r="E539" s="10" t="s">
        <v>20</v>
      </c>
      <c r="F539" s="10">
        <v>2.1299999999999999E-2</v>
      </c>
      <c r="G539" s="10">
        <v>0.97870000000000001</v>
      </c>
      <c r="H539" s="10" t="s">
        <v>31</v>
      </c>
      <c r="I539" s="10" t="b">
        <v>0</v>
      </c>
    </row>
    <row r="540" spans="3:9" x14ac:dyDescent="0.3">
      <c r="C540" s="10">
        <v>12</v>
      </c>
      <c r="D540" s="10">
        <v>1705013</v>
      </c>
      <c r="E540" s="10" t="s">
        <v>20</v>
      </c>
      <c r="F540" s="10">
        <v>2.0400000000000001E-2</v>
      </c>
      <c r="G540" s="10">
        <v>0.97960000000000003</v>
      </c>
      <c r="H540" s="10" t="s">
        <v>38</v>
      </c>
      <c r="I540" s="10" t="b">
        <v>0</v>
      </c>
    </row>
    <row r="541" spans="3:9" x14ac:dyDescent="0.3">
      <c r="C541" s="10">
        <v>71</v>
      </c>
      <c r="D541" s="10">
        <v>1706090</v>
      </c>
      <c r="E541" s="10" t="s">
        <v>20</v>
      </c>
      <c r="F541" s="10">
        <v>2.01E-2</v>
      </c>
      <c r="G541" s="10">
        <v>0.97989999999999999</v>
      </c>
      <c r="H541" s="10" t="s">
        <v>38</v>
      </c>
      <c r="I541" s="10" t="b">
        <v>0</v>
      </c>
    </row>
    <row r="542" spans="3:9" x14ac:dyDescent="0.3">
      <c r="C542" s="10">
        <v>149</v>
      </c>
      <c r="D542" s="10">
        <v>1705172</v>
      </c>
      <c r="E542" s="10" t="s">
        <v>20</v>
      </c>
      <c r="F542" s="10">
        <v>1.89E-2</v>
      </c>
      <c r="G542" s="10">
        <v>0.98109999999999997</v>
      </c>
      <c r="H542" s="10" t="s">
        <v>31</v>
      </c>
      <c r="I542" s="10" t="b">
        <v>0</v>
      </c>
    </row>
    <row r="543" spans="3:9" x14ac:dyDescent="0.3">
      <c r="C543" s="10">
        <v>48</v>
      </c>
      <c r="D543" s="10">
        <v>1706061</v>
      </c>
      <c r="E543" s="10" t="s">
        <v>20</v>
      </c>
      <c r="F543" s="10">
        <v>1.8800000000000001E-2</v>
      </c>
      <c r="G543" s="10">
        <v>0.98119999999999996</v>
      </c>
      <c r="H543" s="10" t="s">
        <v>54</v>
      </c>
      <c r="I543" s="10" t="b">
        <v>0</v>
      </c>
    </row>
    <row r="544" spans="3:9" x14ac:dyDescent="0.3">
      <c r="C544" s="10">
        <v>213</v>
      </c>
      <c r="D544" s="10">
        <v>1705254</v>
      </c>
      <c r="E544" s="10" t="s">
        <v>20</v>
      </c>
      <c r="F544" s="10">
        <v>1.8700000000000001E-2</v>
      </c>
      <c r="G544" s="10">
        <v>0.98129999999999995</v>
      </c>
      <c r="H544" s="10" t="s">
        <v>38</v>
      </c>
      <c r="I544" s="10" t="b">
        <v>0</v>
      </c>
    </row>
    <row r="545" spans="3:9" x14ac:dyDescent="0.3">
      <c r="C545" s="10">
        <v>243</v>
      </c>
      <c r="D545" s="10">
        <v>1705304</v>
      </c>
      <c r="E545" s="10" t="s">
        <v>20</v>
      </c>
      <c r="F545" s="10">
        <v>1.8200000000000001E-2</v>
      </c>
      <c r="G545" s="10">
        <v>0.98180000000000001</v>
      </c>
      <c r="H545" s="10" t="s">
        <v>38</v>
      </c>
      <c r="I545" s="10" t="b">
        <v>0</v>
      </c>
    </row>
    <row r="546" spans="3:9" x14ac:dyDescent="0.3">
      <c r="C546" s="10">
        <v>254</v>
      </c>
      <c r="D546" s="10">
        <v>1706325</v>
      </c>
      <c r="E546" s="10" t="s">
        <v>20</v>
      </c>
      <c r="F546" s="10">
        <v>1.7999999999999999E-2</v>
      </c>
      <c r="G546" s="10">
        <v>0.98199999999999998</v>
      </c>
      <c r="H546" s="10" t="s">
        <v>38</v>
      </c>
      <c r="I546" s="10" t="b">
        <v>0</v>
      </c>
    </row>
    <row r="547" spans="3:9" x14ac:dyDescent="0.3">
      <c r="C547" s="10">
        <v>255</v>
      </c>
      <c r="D547" s="10">
        <v>1706326</v>
      </c>
      <c r="E547" s="10" t="s">
        <v>20</v>
      </c>
      <c r="F547" s="10">
        <v>1.7600000000000001E-2</v>
      </c>
      <c r="G547" s="10">
        <v>0.98240000000000005</v>
      </c>
      <c r="H547" s="10" t="s">
        <v>38</v>
      </c>
      <c r="I547" s="10" t="b">
        <v>0</v>
      </c>
    </row>
    <row r="548" spans="3:9" x14ac:dyDescent="0.3">
      <c r="C548" s="10">
        <v>156</v>
      </c>
      <c r="D548" s="10">
        <v>1705181</v>
      </c>
      <c r="E548" s="10" t="s">
        <v>20</v>
      </c>
      <c r="F548" s="10">
        <v>1.67E-2</v>
      </c>
      <c r="G548" s="10">
        <v>0.98329999999999995</v>
      </c>
      <c r="H548" s="10" t="s">
        <v>38</v>
      </c>
      <c r="I548" s="10" t="b">
        <v>0</v>
      </c>
    </row>
    <row r="549" spans="3:9" x14ac:dyDescent="0.3">
      <c r="C549" s="10">
        <v>42</v>
      </c>
      <c r="D549" s="10">
        <v>1706054</v>
      </c>
      <c r="E549" s="10" t="s">
        <v>20</v>
      </c>
      <c r="F549" s="10">
        <v>1.66E-2</v>
      </c>
      <c r="G549" s="10">
        <v>0.98340000000000005</v>
      </c>
      <c r="H549" s="10" t="s">
        <v>38</v>
      </c>
      <c r="I549" s="10" t="b">
        <v>0</v>
      </c>
    </row>
    <row r="550" spans="3:9" x14ac:dyDescent="0.3">
      <c r="C550" s="10">
        <v>21</v>
      </c>
      <c r="D550" s="10">
        <v>1705022</v>
      </c>
      <c r="E550" s="10" t="s">
        <v>20</v>
      </c>
      <c r="F550" s="10">
        <v>1.6199999999999999E-2</v>
      </c>
      <c r="G550" s="10">
        <v>0.98380000000000001</v>
      </c>
      <c r="H550" s="10" t="s">
        <v>31</v>
      </c>
      <c r="I550" s="10" t="b">
        <v>0</v>
      </c>
    </row>
    <row r="551" spans="3:9" x14ac:dyDescent="0.3">
      <c r="C551" s="10">
        <v>33</v>
      </c>
      <c r="D551" s="10">
        <v>1705037</v>
      </c>
      <c r="E551" s="10" t="s">
        <v>20</v>
      </c>
      <c r="F551" s="10">
        <v>1.3899999999999999E-2</v>
      </c>
      <c r="G551" s="10">
        <v>0.98609999999999998</v>
      </c>
      <c r="H551" s="10" t="s">
        <v>31</v>
      </c>
      <c r="I551" s="10" t="b">
        <v>0</v>
      </c>
    </row>
    <row r="552" spans="3:9" x14ac:dyDescent="0.3">
      <c r="C552" s="10">
        <v>20</v>
      </c>
      <c r="D552" s="10">
        <v>1705021</v>
      </c>
      <c r="E552" s="10" t="s">
        <v>20</v>
      </c>
      <c r="F552" s="10">
        <v>1.3599999999999999E-2</v>
      </c>
      <c r="G552" s="10">
        <v>0.98640000000000005</v>
      </c>
      <c r="H552" s="10" t="s">
        <v>38</v>
      </c>
      <c r="I552" s="10" t="b">
        <v>0</v>
      </c>
    </row>
    <row r="553" spans="3:9" x14ac:dyDescent="0.3">
      <c r="C553" s="10">
        <v>283</v>
      </c>
      <c r="D553" s="10">
        <v>1705382</v>
      </c>
      <c r="E553" s="10" t="s">
        <v>20</v>
      </c>
      <c r="F553" s="10">
        <v>1.29E-2</v>
      </c>
      <c r="G553" s="10">
        <v>0.98709999999999998</v>
      </c>
      <c r="H553" s="10" t="s">
        <v>38</v>
      </c>
      <c r="I553" s="10" t="b">
        <v>0</v>
      </c>
    </row>
    <row r="554" spans="3:9" x14ac:dyDescent="0.3">
      <c r="C554" s="10">
        <v>150</v>
      </c>
      <c r="D554" s="10">
        <v>1706183</v>
      </c>
      <c r="E554" s="10" t="s">
        <v>20</v>
      </c>
      <c r="F554" s="10">
        <v>1.2699999999999999E-2</v>
      </c>
      <c r="G554" s="10">
        <v>0.98729999999999996</v>
      </c>
      <c r="H554" s="10" t="s">
        <v>38</v>
      </c>
      <c r="I554" s="10" t="b">
        <v>0</v>
      </c>
    </row>
    <row r="555" spans="3:9" x14ac:dyDescent="0.3">
      <c r="C555" s="10">
        <v>211</v>
      </c>
      <c r="D555" s="10">
        <v>1705251</v>
      </c>
      <c r="E555" s="10" t="s">
        <v>20</v>
      </c>
      <c r="F555" s="10">
        <v>8.8999999999999999E-3</v>
      </c>
      <c r="G555" s="10">
        <v>0.99109999999999998</v>
      </c>
      <c r="H555" s="10" t="s">
        <v>38</v>
      </c>
      <c r="I555" s="10" t="b">
        <v>0</v>
      </c>
    </row>
    <row r="556" spans="3:9" x14ac:dyDescent="0.3">
      <c r="C556" s="10">
        <v>6</v>
      </c>
      <c r="D556" s="10">
        <v>1705006</v>
      </c>
      <c r="E556" s="10" t="s">
        <v>20</v>
      </c>
      <c r="F556" s="10">
        <v>0.16259999999999999</v>
      </c>
      <c r="G556" s="10">
        <v>0.83740000000000003</v>
      </c>
      <c r="H556" s="10" t="s">
        <v>51</v>
      </c>
      <c r="I556" s="10" t="b">
        <v>0</v>
      </c>
    </row>
    <row r="557" spans="3:9" x14ac:dyDescent="0.3">
      <c r="C557" s="10">
        <v>74</v>
      </c>
      <c r="D557" s="10">
        <v>1705086</v>
      </c>
      <c r="E557" s="10" t="s">
        <v>20</v>
      </c>
      <c r="F557" s="10">
        <v>0.13100000000000001</v>
      </c>
      <c r="G557" s="10">
        <v>0.86899999999999999</v>
      </c>
      <c r="H557" s="10" t="s">
        <v>54</v>
      </c>
      <c r="I557" s="10" t="b">
        <v>0</v>
      </c>
    </row>
    <row r="558" spans="3:9" x14ac:dyDescent="0.3">
      <c r="C558" s="10">
        <v>114</v>
      </c>
      <c r="D558" s="10">
        <v>1706139</v>
      </c>
      <c r="E558" s="10" t="s">
        <v>20</v>
      </c>
      <c r="F558" s="10">
        <v>0.29899999999999999</v>
      </c>
      <c r="G558" s="10">
        <v>0.70099999999999996</v>
      </c>
      <c r="H558" s="10" t="s">
        <v>49</v>
      </c>
      <c r="I558" s="10" t="b">
        <v>0</v>
      </c>
    </row>
  </sheetData>
  <autoFilter ref="A1:M555" xr:uid="{6F84BEEB-8EC7-4953-8E7E-48EF0131DED5}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F766-0B31-4A90-8D94-D4F1658BFDD3}">
  <dimension ref="A1:K389"/>
  <sheetViews>
    <sheetView topLeftCell="A28" zoomScale="70" zoomScaleNormal="70" workbookViewId="0">
      <selection activeCell="G8" sqref="G8"/>
    </sheetView>
  </sheetViews>
  <sheetFormatPr defaultColWidth="9.109375" defaultRowHeight="14.4" x14ac:dyDescent="0.3"/>
  <cols>
    <col min="1" max="1" width="9.109375" style="10"/>
    <col min="2" max="2" width="9.109375" style="10" customWidth="1"/>
    <col min="3" max="3" width="9.109375" style="10"/>
    <col min="4" max="4" width="10.6640625" style="10" bestFit="1" customWidth="1"/>
    <col min="5" max="5" width="9.5546875" style="10" bestFit="1" customWidth="1"/>
    <col min="6" max="10" width="9.109375" style="10"/>
    <col min="11" max="11" width="100.109375" style="10" bestFit="1" customWidth="1"/>
    <col min="12" max="16384" width="9.109375" style="10"/>
  </cols>
  <sheetData>
    <row r="1" spans="1:11" s="9" customFormat="1" x14ac:dyDescent="0.3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K1" s="9" t="s">
        <v>23</v>
      </c>
    </row>
    <row r="2" spans="1:11" ht="18" x14ac:dyDescent="0.35">
      <c r="A2" s="20" t="s">
        <v>24</v>
      </c>
      <c r="B2" s="21"/>
      <c r="C2" s="11">
        <v>238</v>
      </c>
      <c r="D2" s="11">
        <v>2303309</v>
      </c>
      <c r="E2" s="11" t="s">
        <v>19</v>
      </c>
      <c r="F2" s="11">
        <v>0.93669999999999998</v>
      </c>
      <c r="G2" s="11">
        <v>6.3299999999999995E-2</v>
      </c>
      <c r="H2" s="11" t="s">
        <v>19</v>
      </c>
      <c r="I2" s="11" t="b">
        <v>1</v>
      </c>
    </row>
    <row r="3" spans="1:11" ht="18" x14ac:dyDescent="0.35">
      <c r="A3" s="22" t="s">
        <v>25</v>
      </c>
      <c r="B3" s="21"/>
      <c r="C3" s="10">
        <v>47</v>
      </c>
      <c r="D3" s="12">
        <v>2303056</v>
      </c>
      <c r="E3" s="10" t="s">
        <v>19</v>
      </c>
      <c r="F3" s="10">
        <v>0.92559999999999998</v>
      </c>
      <c r="G3" s="10">
        <v>7.4399999999999994E-2</v>
      </c>
      <c r="H3" s="10" t="s">
        <v>26</v>
      </c>
      <c r="I3" s="10" t="b">
        <v>0</v>
      </c>
      <c r="J3" s="11" t="s">
        <v>27</v>
      </c>
    </row>
    <row r="4" spans="1:11" s="13" customFormat="1" ht="18" x14ac:dyDescent="0.35">
      <c r="A4" s="20" t="s">
        <v>24</v>
      </c>
      <c r="B4" s="23"/>
      <c r="C4" s="14">
        <v>118</v>
      </c>
      <c r="D4" s="14">
        <v>2303155</v>
      </c>
      <c r="E4" s="14" t="s">
        <v>19</v>
      </c>
      <c r="F4" s="14">
        <v>0.91200000000000003</v>
      </c>
      <c r="G4" s="14">
        <v>8.7999999999999995E-2</v>
      </c>
      <c r="H4" s="14" t="s">
        <v>19</v>
      </c>
      <c r="I4" s="14" t="b">
        <v>1</v>
      </c>
    </row>
    <row r="5" spans="1:11" ht="18" x14ac:dyDescent="0.35">
      <c r="A5" s="22" t="s">
        <v>25</v>
      </c>
      <c r="B5" s="21"/>
      <c r="C5" s="10">
        <v>278</v>
      </c>
      <c r="D5" s="12">
        <v>2303356</v>
      </c>
      <c r="E5" s="10" t="s">
        <v>19</v>
      </c>
      <c r="F5" s="10">
        <v>0.88700000000000001</v>
      </c>
      <c r="G5" s="10">
        <v>0.113</v>
      </c>
      <c r="H5" s="10" t="s">
        <v>28</v>
      </c>
      <c r="I5" s="10" t="b">
        <v>0</v>
      </c>
      <c r="J5" s="11" t="s">
        <v>27</v>
      </c>
    </row>
    <row r="6" spans="1:11" ht="18" x14ac:dyDescent="0.35">
      <c r="A6" s="21"/>
      <c r="B6" s="24" t="s">
        <v>25</v>
      </c>
      <c r="C6" s="10">
        <v>254</v>
      </c>
      <c r="D6" s="10">
        <v>2303331</v>
      </c>
      <c r="E6" s="10" t="s">
        <v>19</v>
      </c>
      <c r="F6" s="10">
        <v>0.8538</v>
      </c>
      <c r="G6" s="10">
        <v>0.1462</v>
      </c>
      <c r="H6" s="10" t="s">
        <v>26</v>
      </c>
      <c r="I6" s="10" t="b">
        <v>0</v>
      </c>
      <c r="J6" s="15" t="s">
        <v>29</v>
      </c>
      <c r="K6" s="10" t="s">
        <v>30</v>
      </c>
    </row>
    <row r="7" spans="1:11" s="13" customFormat="1" ht="18" x14ac:dyDescent="0.35">
      <c r="A7" s="23"/>
      <c r="B7" s="24" t="s">
        <v>25</v>
      </c>
      <c r="C7" s="13">
        <v>231</v>
      </c>
      <c r="D7" s="13">
        <v>2303302</v>
      </c>
      <c r="E7" s="13" t="s">
        <v>19</v>
      </c>
      <c r="F7" s="13">
        <v>0.83240000000000003</v>
      </c>
      <c r="G7" s="13">
        <v>0.1676</v>
      </c>
      <c r="H7" s="13" t="s">
        <v>31</v>
      </c>
      <c r="I7" s="13" t="b">
        <v>0</v>
      </c>
      <c r="J7" s="16" t="s">
        <v>29</v>
      </c>
      <c r="K7" s="13" t="s">
        <v>32</v>
      </c>
    </row>
    <row r="8" spans="1:11" ht="18" x14ac:dyDescent="0.35">
      <c r="A8" s="20" t="s">
        <v>24</v>
      </c>
      <c r="B8" s="21"/>
      <c r="C8" s="11">
        <v>134</v>
      </c>
      <c r="D8" s="11">
        <v>2303178</v>
      </c>
      <c r="E8" s="11" t="s">
        <v>19</v>
      </c>
      <c r="F8" s="11">
        <v>0.79830000000000001</v>
      </c>
      <c r="G8" s="11">
        <v>0.20169999999999999</v>
      </c>
      <c r="H8" s="11" t="s">
        <v>19</v>
      </c>
      <c r="I8" s="11" t="b">
        <v>1</v>
      </c>
    </row>
    <row r="9" spans="1:11" ht="18" x14ac:dyDescent="0.35">
      <c r="A9" s="22" t="s">
        <v>25</v>
      </c>
      <c r="B9" s="21"/>
      <c r="C9" s="10">
        <v>284</v>
      </c>
      <c r="D9" s="12">
        <v>2303362</v>
      </c>
      <c r="E9" s="10" t="s">
        <v>19</v>
      </c>
      <c r="F9" s="10">
        <v>0.79620000000000002</v>
      </c>
      <c r="G9" s="10">
        <v>0.20380000000000001</v>
      </c>
      <c r="H9" s="10" t="s">
        <v>31</v>
      </c>
      <c r="I9" s="10" t="b">
        <v>0</v>
      </c>
      <c r="J9" s="11" t="s">
        <v>27</v>
      </c>
    </row>
    <row r="10" spans="1:11" ht="18" x14ac:dyDescent="0.35">
      <c r="A10" s="21"/>
      <c r="B10" s="24" t="s">
        <v>25</v>
      </c>
      <c r="C10" s="10">
        <v>8</v>
      </c>
      <c r="D10" s="10">
        <v>2401013</v>
      </c>
      <c r="E10" s="10" t="s">
        <v>19</v>
      </c>
      <c r="F10" s="10">
        <v>0.79210000000000003</v>
      </c>
      <c r="G10" s="10">
        <v>0.2079</v>
      </c>
      <c r="H10" s="10" t="s">
        <v>31</v>
      </c>
      <c r="I10" s="10" t="b">
        <v>0</v>
      </c>
      <c r="J10" s="15" t="s">
        <v>29</v>
      </c>
      <c r="K10" s="10" t="s">
        <v>32</v>
      </c>
    </row>
    <row r="11" spans="1:11" ht="18" x14ac:dyDescent="0.35">
      <c r="A11" s="21"/>
      <c r="B11" s="24" t="s">
        <v>25</v>
      </c>
      <c r="C11" s="10">
        <v>255</v>
      </c>
      <c r="D11" s="10">
        <v>2303332</v>
      </c>
      <c r="E11" s="10" t="s">
        <v>19</v>
      </c>
      <c r="F11" s="10">
        <v>0.77090000000000003</v>
      </c>
      <c r="G11" s="10">
        <v>0.2291</v>
      </c>
      <c r="H11" s="10" t="s">
        <v>31</v>
      </c>
      <c r="I11" s="10" t="b">
        <v>0</v>
      </c>
      <c r="J11" s="15" t="s">
        <v>29</v>
      </c>
      <c r="K11" s="10" t="s">
        <v>32</v>
      </c>
    </row>
    <row r="12" spans="1:11" ht="18" x14ac:dyDescent="0.35">
      <c r="A12" s="21"/>
      <c r="B12" s="24" t="s">
        <v>25</v>
      </c>
      <c r="C12" s="10">
        <v>19</v>
      </c>
      <c r="D12" s="10">
        <v>2303025</v>
      </c>
      <c r="E12" s="10" t="s">
        <v>19</v>
      </c>
      <c r="F12" s="10">
        <v>0.76339999999999997</v>
      </c>
      <c r="G12" s="10">
        <v>0.2366</v>
      </c>
      <c r="H12" s="10" t="s">
        <v>31</v>
      </c>
      <c r="I12" s="10" t="b">
        <v>0</v>
      </c>
      <c r="J12" s="15" t="s">
        <v>29</v>
      </c>
      <c r="K12" s="10" t="s">
        <v>32</v>
      </c>
    </row>
    <row r="13" spans="1:11" ht="18" x14ac:dyDescent="0.35">
      <c r="A13" s="21"/>
      <c r="B13" s="24" t="s">
        <v>25</v>
      </c>
      <c r="C13" s="10">
        <v>173</v>
      </c>
      <c r="D13" s="10">
        <v>2303230</v>
      </c>
      <c r="E13" s="10" t="s">
        <v>19</v>
      </c>
      <c r="F13" s="10">
        <v>0.74039999999999995</v>
      </c>
      <c r="G13" s="10">
        <v>0.2596</v>
      </c>
      <c r="H13" s="10" t="s">
        <v>31</v>
      </c>
      <c r="I13" s="10" t="b">
        <v>0</v>
      </c>
      <c r="J13" s="15" t="s">
        <v>29</v>
      </c>
      <c r="K13" s="10" t="s">
        <v>32</v>
      </c>
    </row>
    <row r="14" spans="1:11" ht="18" x14ac:dyDescent="0.35">
      <c r="A14" s="21"/>
      <c r="B14" s="24" t="s">
        <v>25</v>
      </c>
      <c r="C14" s="10">
        <v>146</v>
      </c>
      <c r="D14" s="10">
        <v>2303197</v>
      </c>
      <c r="E14" s="10" t="s">
        <v>19</v>
      </c>
      <c r="F14" s="10">
        <v>0.73970000000000002</v>
      </c>
      <c r="G14" s="10">
        <v>0.26029999999999998</v>
      </c>
      <c r="H14" s="10" t="s">
        <v>31</v>
      </c>
      <c r="I14" s="10" t="b">
        <v>0</v>
      </c>
      <c r="J14" s="15" t="s">
        <v>29</v>
      </c>
      <c r="K14" s="10" t="s">
        <v>32</v>
      </c>
    </row>
    <row r="15" spans="1:11" ht="18" x14ac:dyDescent="0.35">
      <c r="A15" s="21"/>
      <c r="B15" s="24" t="s">
        <v>25</v>
      </c>
      <c r="C15" s="10">
        <v>57</v>
      </c>
      <c r="D15" s="10">
        <v>2401073</v>
      </c>
      <c r="E15" s="10" t="s">
        <v>19</v>
      </c>
      <c r="F15" s="10">
        <v>0.73750000000000004</v>
      </c>
      <c r="G15" s="10">
        <v>0.26250000000000001</v>
      </c>
      <c r="H15" s="10" t="s">
        <v>28</v>
      </c>
      <c r="I15" s="10" t="b">
        <v>0</v>
      </c>
      <c r="J15" s="15" t="s">
        <v>29</v>
      </c>
      <c r="K15" s="10" t="s">
        <v>32</v>
      </c>
    </row>
    <row r="16" spans="1:11" ht="18" x14ac:dyDescent="0.35">
      <c r="A16" s="20" t="s">
        <v>24</v>
      </c>
      <c r="B16" s="21"/>
      <c r="C16" s="11">
        <v>100</v>
      </c>
      <c r="D16" s="11">
        <v>2303130</v>
      </c>
      <c r="E16" s="11" t="s">
        <v>19</v>
      </c>
      <c r="F16" s="11">
        <v>0.73680000000000001</v>
      </c>
      <c r="G16" s="11">
        <v>0.26319999999999999</v>
      </c>
      <c r="H16" s="11" t="s">
        <v>19</v>
      </c>
      <c r="I16" s="11" t="b">
        <v>1</v>
      </c>
    </row>
    <row r="17" spans="1:11" ht="18" x14ac:dyDescent="0.35">
      <c r="A17" s="21"/>
      <c r="B17" s="24" t="s">
        <v>25</v>
      </c>
      <c r="C17" s="10">
        <v>66</v>
      </c>
      <c r="D17" s="10">
        <v>2401083</v>
      </c>
      <c r="E17" s="10" t="s">
        <v>19</v>
      </c>
      <c r="F17" s="10">
        <v>0.72960000000000003</v>
      </c>
      <c r="G17" s="10">
        <v>0.27039999999999997</v>
      </c>
      <c r="H17" s="10" t="s">
        <v>31</v>
      </c>
      <c r="I17" s="10" t="b">
        <v>0</v>
      </c>
      <c r="J17" s="15" t="s">
        <v>29</v>
      </c>
      <c r="K17" s="10" t="s">
        <v>32</v>
      </c>
    </row>
    <row r="18" spans="1:11" ht="18" x14ac:dyDescent="0.35">
      <c r="A18" s="21"/>
      <c r="B18" s="24" t="s">
        <v>25</v>
      </c>
      <c r="C18" s="10">
        <v>268</v>
      </c>
      <c r="D18" s="10">
        <v>2303346</v>
      </c>
      <c r="E18" s="10" t="s">
        <v>19</v>
      </c>
      <c r="F18" s="10">
        <v>0.72430000000000005</v>
      </c>
      <c r="G18" s="10">
        <v>0.2757</v>
      </c>
      <c r="H18" s="10" t="s">
        <v>33</v>
      </c>
      <c r="I18" s="10" t="b">
        <v>0</v>
      </c>
      <c r="J18" s="15" t="s">
        <v>29</v>
      </c>
      <c r="K18" s="10" t="s">
        <v>34</v>
      </c>
    </row>
    <row r="19" spans="1:11" ht="18" x14ac:dyDescent="0.35">
      <c r="A19" s="21"/>
      <c r="B19" s="25" t="s">
        <v>24</v>
      </c>
      <c r="C19" s="10">
        <v>180</v>
      </c>
      <c r="D19" s="10">
        <v>2303237</v>
      </c>
      <c r="E19" s="10" t="s">
        <v>19</v>
      </c>
      <c r="F19" s="10">
        <v>0.71360000000000001</v>
      </c>
      <c r="G19" s="10">
        <v>0.28639999999999999</v>
      </c>
      <c r="H19" s="10" t="s">
        <v>35</v>
      </c>
      <c r="I19" s="10" t="b">
        <v>0</v>
      </c>
      <c r="J19" s="15" t="s">
        <v>29</v>
      </c>
      <c r="K19" s="10" t="s">
        <v>36</v>
      </c>
    </row>
    <row r="20" spans="1:11" ht="18" x14ac:dyDescent="0.35">
      <c r="A20" s="20" t="s">
        <v>24</v>
      </c>
      <c r="B20" s="21"/>
      <c r="C20" s="11">
        <v>260</v>
      </c>
      <c r="D20" s="11">
        <v>2303337</v>
      </c>
      <c r="E20" s="11" t="s">
        <v>19</v>
      </c>
      <c r="F20" s="11">
        <v>0.71140000000000003</v>
      </c>
      <c r="G20" s="11">
        <v>0.28860000000000002</v>
      </c>
      <c r="H20" s="11" t="s">
        <v>19</v>
      </c>
      <c r="I20" s="11" t="b">
        <v>1</v>
      </c>
    </row>
    <row r="21" spans="1:11" ht="18" x14ac:dyDescent="0.35">
      <c r="A21" s="21"/>
      <c r="B21" s="24" t="s">
        <v>25</v>
      </c>
      <c r="C21" s="10">
        <v>107</v>
      </c>
      <c r="D21" s="10">
        <v>2303141</v>
      </c>
      <c r="E21" s="10" t="s">
        <v>19</v>
      </c>
      <c r="F21" s="10">
        <v>0.70840000000000003</v>
      </c>
      <c r="G21" s="10">
        <v>0.29160000000000003</v>
      </c>
      <c r="H21" s="10" t="s">
        <v>31</v>
      </c>
      <c r="I21" s="10" t="b">
        <v>0</v>
      </c>
      <c r="J21" s="15" t="s">
        <v>29</v>
      </c>
      <c r="K21" s="10" t="s">
        <v>37</v>
      </c>
    </row>
    <row r="22" spans="1:11" s="13" customFormat="1" ht="18" x14ac:dyDescent="0.35">
      <c r="A22" s="23"/>
      <c r="B22" s="24" t="s">
        <v>25</v>
      </c>
      <c r="C22" s="13">
        <v>242</v>
      </c>
      <c r="D22" s="13">
        <v>2303317</v>
      </c>
      <c r="E22" s="13" t="s">
        <v>19</v>
      </c>
      <c r="F22" s="13">
        <v>0.70399999999999996</v>
      </c>
      <c r="G22" s="13">
        <v>0.29599999999999999</v>
      </c>
      <c r="H22" s="13" t="s">
        <v>31</v>
      </c>
      <c r="I22" s="13" t="b">
        <v>0</v>
      </c>
      <c r="J22" s="16" t="s">
        <v>29</v>
      </c>
      <c r="K22" s="13" t="s">
        <v>32</v>
      </c>
    </row>
    <row r="23" spans="1:11" ht="18" x14ac:dyDescent="0.35">
      <c r="A23" s="21"/>
      <c r="B23" s="24" t="s">
        <v>25</v>
      </c>
      <c r="C23" s="10">
        <v>214</v>
      </c>
      <c r="D23" s="10">
        <v>2303277</v>
      </c>
      <c r="E23" s="10" t="s">
        <v>19</v>
      </c>
      <c r="F23" s="10">
        <v>0.67110000000000003</v>
      </c>
      <c r="G23" s="10">
        <v>0.32890000000000003</v>
      </c>
      <c r="H23" s="10" t="s">
        <v>31</v>
      </c>
      <c r="I23" s="10" t="b">
        <v>0</v>
      </c>
      <c r="J23" s="15" t="s">
        <v>29</v>
      </c>
      <c r="K23" s="10" t="s">
        <v>32</v>
      </c>
    </row>
    <row r="24" spans="1:11" ht="18" x14ac:dyDescent="0.35">
      <c r="A24" s="21"/>
      <c r="B24" s="24" t="s">
        <v>25</v>
      </c>
      <c r="C24" s="10">
        <v>63</v>
      </c>
      <c r="D24" s="10">
        <v>2303079</v>
      </c>
      <c r="E24" s="10" t="s">
        <v>19</v>
      </c>
      <c r="F24" s="10">
        <v>0.65959999999999996</v>
      </c>
      <c r="G24" s="10">
        <v>0.34039999999999998</v>
      </c>
      <c r="H24" s="10" t="s">
        <v>28</v>
      </c>
      <c r="I24" s="10" t="b">
        <v>0</v>
      </c>
      <c r="J24" s="15" t="s">
        <v>29</v>
      </c>
      <c r="K24" s="10" t="s">
        <v>32</v>
      </c>
    </row>
    <row r="25" spans="1:11" ht="18" x14ac:dyDescent="0.35">
      <c r="A25" s="21"/>
      <c r="B25" s="24" t="s">
        <v>25</v>
      </c>
      <c r="C25" s="10">
        <v>8</v>
      </c>
      <c r="D25" s="10">
        <v>2303010</v>
      </c>
      <c r="E25" s="10" t="s">
        <v>19</v>
      </c>
      <c r="F25" s="10">
        <v>0.63800000000000001</v>
      </c>
      <c r="G25" s="10">
        <v>0.36199999999999999</v>
      </c>
      <c r="H25" s="10" t="s">
        <v>28</v>
      </c>
      <c r="I25" s="10" t="b">
        <v>0</v>
      </c>
      <c r="J25" s="15" t="s">
        <v>29</v>
      </c>
      <c r="K25" s="10" t="s">
        <v>32</v>
      </c>
    </row>
    <row r="26" spans="1:11" ht="18" x14ac:dyDescent="0.35">
      <c r="A26" s="21"/>
      <c r="B26" s="24" t="s">
        <v>25</v>
      </c>
      <c r="C26" s="10">
        <v>150</v>
      </c>
      <c r="D26" s="10">
        <v>2303203</v>
      </c>
      <c r="E26" s="10" t="s">
        <v>19</v>
      </c>
      <c r="F26" s="10">
        <v>0.62329999999999997</v>
      </c>
      <c r="G26" s="10">
        <v>0.37669999999999998</v>
      </c>
      <c r="H26" s="10" t="s">
        <v>31</v>
      </c>
      <c r="I26" s="10" t="b">
        <v>0</v>
      </c>
      <c r="J26" s="15" t="s">
        <v>29</v>
      </c>
      <c r="K26" s="10" t="s">
        <v>34</v>
      </c>
    </row>
    <row r="27" spans="1:11" ht="18" x14ac:dyDescent="0.35">
      <c r="A27" s="22" t="s">
        <v>25</v>
      </c>
      <c r="B27" s="21"/>
      <c r="C27" s="10">
        <v>248</v>
      </c>
      <c r="D27" s="12">
        <v>2303324</v>
      </c>
      <c r="E27" s="10" t="s">
        <v>19</v>
      </c>
      <c r="F27" s="10">
        <v>0.61260000000000003</v>
      </c>
      <c r="G27" s="10">
        <v>0.38740000000000002</v>
      </c>
      <c r="H27" s="10" t="s">
        <v>28</v>
      </c>
      <c r="I27" s="10" t="b">
        <v>0</v>
      </c>
      <c r="J27" s="11" t="s">
        <v>27</v>
      </c>
    </row>
    <row r="28" spans="1:11" ht="18" x14ac:dyDescent="0.35">
      <c r="A28" s="21"/>
      <c r="B28" s="24" t="s">
        <v>25</v>
      </c>
      <c r="C28" s="10">
        <v>38</v>
      </c>
      <c r="D28" s="10">
        <v>2303047</v>
      </c>
      <c r="E28" s="10" t="s">
        <v>19</v>
      </c>
      <c r="F28" s="10">
        <v>0.61219999999999997</v>
      </c>
      <c r="G28" s="10">
        <v>0.38779999999999998</v>
      </c>
      <c r="H28" s="10" t="s">
        <v>26</v>
      </c>
      <c r="I28" s="10" t="b">
        <v>0</v>
      </c>
      <c r="J28" s="15" t="s">
        <v>29</v>
      </c>
      <c r="K28" s="10" t="s">
        <v>34</v>
      </c>
    </row>
    <row r="29" spans="1:11" ht="18" x14ac:dyDescent="0.35">
      <c r="A29" s="21"/>
      <c r="B29" s="24" t="s">
        <v>25</v>
      </c>
      <c r="C29" s="10">
        <v>99</v>
      </c>
      <c r="D29" s="10">
        <v>2303129</v>
      </c>
      <c r="E29" s="10" t="s">
        <v>19</v>
      </c>
      <c r="F29" s="10">
        <v>0.61209999999999998</v>
      </c>
      <c r="G29" s="10">
        <v>0.38790000000000002</v>
      </c>
      <c r="H29" s="10" t="s">
        <v>38</v>
      </c>
      <c r="I29" s="10" t="b">
        <v>0</v>
      </c>
      <c r="J29" s="15" t="s">
        <v>29</v>
      </c>
      <c r="K29" s="10" t="s">
        <v>32</v>
      </c>
    </row>
    <row r="30" spans="1:11" ht="18" x14ac:dyDescent="0.35">
      <c r="A30" s="43"/>
      <c r="B30" s="24" t="s">
        <v>25</v>
      </c>
      <c r="C30" s="10">
        <v>239</v>
      </c>
      <c r="D30" s="10">
        <v>2303313</v>
      </c>
      <c r="E30" s="10" t="s">
        <v>19</v>
      </c>
      <c r="F30" s="10">
        <v>0.60460000000000003</v>
      </c>
      <c r="G30" s="10">
        <v>0.39539999999999997</v>
      </c>
      <c r="H30" s="10" t="s">
        <v>28</v>
      </c>
      <c r="I30" s="10" t="b">
        <v>0</v>
      </c>
      <c r="J30" s="15" t="s">
        <v>29</v>
      </c>
      <c r="K30" s="42" t="s">
        <v>93</v>
      </c>
    </row>
    <row r="31" spans="1:11" ht="18" x14ac:dyDescent="0.35">
      <c r="A31" s="21"/>
      <c r="B31" s="24" t="s">
        <v>25</v>
      </c>
      <c r="C31" s="10">
        <v>221</v>
      </c>
      <c r="D31" s="10">
        <v>2303291</v>
      </c>
      <c r="E31" s="10" t="s">
        <v>19</v>
      </c>
      <c r="F31" s="10">
        <v>0.60450000000000004</v>
      </c>
      <c r="G31" s="10">
        <v>0.39550000000000002</v>
      </c>
      <c r="H31" s="10" t="s">
        <v>31</v>
      </c>
      <c r="I31" s="10" t="b">
        <v>0</v>
      </c>
      <c r="J31" s="15" t="s">
        <v>29</v>
      </c>
      <c r="K31" s="10" t="s">
        <v>32</v>
      </c>
    </row>
    <row r="32" spans="1:11" s="13" customFormat="1" ht="18" x14ac:dyDescent="0.35">
      <c r="A32" s="22" t="s">
        <v>25</v>
      </c>
      <c r="B32" s="23"/>
      <c r="C32" s="13">
        <v>82</v>
      </c>
      <c r="D32" s="17">
        <v>2401104</v>
      </c>
      <c r="E32" s="13" t="s">
        <v>19</v>
      </c>
      <c r="F32" s="13">
        <v>0.60150000000000003</v>
      </c>
      <c r="G32" s="13">
        <v>0.39850000000000002</v>
      </c>
      <c r="H32" s="13" t="s">
        <v>28</v>
      </c>
      <c r="I32" s="13" t="b">
        <v>0</v>
      </c>
      <c r="J32" s="14" t="s">
        <v>27</v>
      </c>
    </row>
    <row r="33" spans="1:11" ht="18" x14ac:dyDescent="0.35">
      <c r="A33" s="21"/>
      <c r="B33" s="24" t="s">
        <v>25</v>
      </c>
      <c r="C33" s="10">
        <v>110</v>
      </c>
      <c r="D33" s="10">
        <v>2303144</v>
      </c>
      <c r="E33" s="10" t="s">
        <v>19</v>
      </c>
      <c r="F33" s="10">
        <v>0.59319999999999995</v>
      </c>
      <c r="G33" s="10">
        <v>0.40679999999999999</v>
      </c>
      <c r="H33" s="10" t="s">
        <v>31</v>
      </c>
      <c r="I33" s="10" t="b">
        <v>0</v>
      </c>
      <c r="J33" s="15" t="s">
        <v>29</v>
      </c>
      <c r="K33" s="10" t="s">
        <v>34</v>
      </c>
    </row>
    <row r="34" spans="1:11" ht="18" x14ac:dyDescent="0.35">
      <c r="A34" s="22" t="s">
        <v>25</v>
      </c>
      <c r="B34" s="21"/>
      <c r="C34" s="10">
        <v>212</v>
      </c>
      <c r="D34" s="12">
        <v>2303275</v>
      </c>
      <c r="E34" s="10" t="s">
        <v>19</v>
      </c>
      <c r="F34" s="10">
        <v>0.59019999999999995</v>
      </c>
      <c r="G34" s="10">
        <v>0.4098</v>
      </c>
      <c r="H34" s="10" t="s">
        <v>31</v>
      </c>
      <c r="I34" s="10" t="b">
        <v>0</v>
      </c>
      <c r="J34" s="11" t="s">
        <v>27</v>
      </c>
      <c r="K34" s="10" t="s">
        <v>39</v>
      </c>
    </row>
    <row r="35" spans="1:11" ht="18" x14ac:dyDescent="0.35">
      <c r="A35" s="21"/>
      <c r="B35" s="24" t="s">
        <v>25</v>
      </c>
      <c r="C35" s="10">
        <v>41</v>
      </c>
      <c r="D35" s="10">
        <v>2303050</v>
      </c>
      <c r="E35" s="10" t="s">
        <v>19</v>
      </c>
      <c r="F35" s="10">
        <v>0.58299999999999996</v>
      </c>
      <c r="G35" s="10">
        <v>0.41699999999999998</v>
      </c>
      <c r="H35" s="10" t="s">
        <v>26</v>
      </c>
      <c r="I35" s="10" t="b">
        <v>0</v>
      </c>
      <c r="J35" s="15" t="s">
        <v>29</v>
      </c>
      <c r="K35" s="10" t="s">
        <v>34</v>
      </c>
    </row>
    <row r="36" spans="1:11" ht="18" x14ac:dyDescent="0.35">
      <c r="A36" s="21"/>
      <c r="B36" s="24" t="s">
        <v>25</v>
      </c>
      <c r="C36" s="10">
        <v>31</v>
      </c>
      <c r="D36" s="10">
        <v>2401044</v>
      </c>
      <c r="E36" s="10" t="s">
        <v>19</v>
      </c>
      <c r="F36" s="10">
        <v>0.57979999999999998</v>
      </c>
      <c r="G36" s="10">
        <v>0.42020000000000002</v>
      </c>
      <c r="H36" s="10" t="s">
        <v>31</v>
      </c>
      <c r="I36" s="10" t="b">
        <v>0</v>
      </c>
      <c r="J36" s="15" t="s">
        <v>29</v>
      </c>
      <c r="K36" s="10" t="s">
        <v>32</v>
      </c>
    </row>
    <row r="37" spans="1:11" ht="18" x14ac:dyDescent="0.35">
      <c r="A37" s="43"/>
      <c r="B37" s="24" t="s">
        <v>25</v>
      </c>
      <c r="C37" s="10">
        <v>252</v>
      </c>
      <c r="D37" s="10">
        <v>2303329</v>
      </c>
      <c r="E37" s="10" t="s">
        <v>19</v>
      </c>
      <c r="F37" s="10">
        <v>0.5716</v>
      </c>
      <c r="G37" s="10">
        <v>0.4284</v>
      </c>
      <c r="H37" s="10" t="s">
        <v>40</v>
      </c>
      <c r="I37" s="10" t="b">
        <v>0</v>
      </c>
      <c r="J37" s="15" t="s">
        <v>29</v>
      </c>
      <c r="K37" s="42" t="s">
        <v>94</v>
      </c>
    </row>
    <row r="38" spans="1:11" ht="18" x14ac:dyDescent="0.35">
      <c r="A38" s="21"/>
      <c r="B38" s="24" t="s">
        <v>25</v>
      </c>
      <c r="C38" s="10">
        <v>26</v>
      </c>
      <c r="D38" s="10">
        <v>2303033</v>
      </c>
      <c r="E38" s="10" t="s">
        <v>19</v>
      </c>
      <c r="F38" s="10">
        <v>0.57140000000000002</v>
      </c>
      <c r="G38" s="10">
        <v>0.42859999999999998</v>
      </c>
      <c r="H38" s="10" t="s">
        <v>28</v>
      </c>
      <c r="I38" s="10" t="b">
        <v>0</v>
      </c>
      <c r="J38" s="15" t="s">
        <v>29</v>
      </c>
      <c r="K38" s="10" t="s">
        <v>34</v>
      </c>
    </row>
    <row r="39" spans="1:11" ht="18" x14ac:dyDescent="0.35">
      <c r="A39" s="22" t="s">
        <v>25</v>
      </c>
      <c r="B39" s="21"/>
      <c r="C39" s="10">
        <v>131</v>
      </c>
      <c r="D39" s="12">
        <v>2303172</v>
      </c>
      <c r="E39" s="10" t="s">
        <v>19</v>
      </c>
      <c r="F39" s="10">
        <v>0.56489999999999996</v>
      </c>
      <c r="G39" s="10">
        <v>0.43509999999999999</v>
      </c>
      <c r="H39" s="10" t="s">
        <v>28</v>
      </c>
      <c r="I39" s="10" t="b">
        <v>0</v>
      </c>
      <c r="J39" s="11" t="s">
        <v>27</v>
      </c>
    </row>
    <row r="40" spans="1:11" ht="18" x14ac:dyDescent="0.35">
      <c r="A40" s="21"/>
      <c r="B40" s="25" t="s">
        <v>24</v>
      </c>
      <c r="C40" s="10">
        <v>200</v>
      </c>
      <c r="D40" s="10">
        <v>2303262</v>
      </c>
      <c r="E40" s="10" t="s">
        <v>19</v>
      </c>
      <c r="F40" s="10">
        <v>0.5575</v>
      </c>
      <c r="G40" s="10">
        <v>0.4425</v>
      </c>
      <c r="H40" s="10" t="s">
        <v>41</v>
      </c>
      <c r="I40" s="10" t="b">
        <v>0</v>
      </c>
      <c r="J40" s="15" t="s">
        <v>29</v>
      </c>
      <c r="K40" s="10" t="s">
        <v>95</v>
      </c>
    </row>
    <row r="41" spans="1:11" ht="18" x14ac:dyDescent="0.35">
      <c r="A41" s="21"/>
      <c r="B41" s="24" t="s">
        <v>25</v>
      </c>
      <c r="C41" s="10">
        <v>171</v>
      </c>
      <c r="D41" s="10">
        <v>2303228</v>
      </c>
      <c r="E41" s="10" t="s">
        <v>19</v>
      </c>
      <c r="F41" s="10">
        <v>0.55049999999999999</v>
      </c>
      <c r="G41" s="10">
        <v>0.44950000000000001</v>
      </c>
      <c r="H41" s="10" t="s">
        <v>28</v>
      </c>
      <c r="I41" s="10" t="b">
        <v>0</v>
      </c>
      <c r="J41" s="15" t="s">
        <v>29</v>
      </c>
      <c r="K41" s="10" t="s">
        <v>34</v>
      </c>
    </row>
    <row r="42" spans="1:11" ht="18" x14ac:dyDescent="0.35">
      <c r="A42" s="21"/>
      <c r="B42" s="25" t="s">
        <v>24</v>
      </c>
      <c r="C42" s="10">
        <v>28</v>
      </c>
      <c r="D42" s="10">
        <v>2303037</v>
      </c>
      <c r="E42" s="10" t="s">
        <v>19</v>
      </c>
      <c r="F42" s="10">
        <v>0.53490000000000004</v>
      </c>
      <c r="G42" s="10">
        <v>0.46510000000000001</v>
      </c>
      <c r="H42" s="10" t="s">
        <v>41</v>
      </c>
      <c r="I42" s="10" t="b">
        <v>0</v>
      </c>
      <c r="J42" s="15" t="s">
        <v>29</v>
      </c>
      <c r="K42" s="10" t="s">
        <v>34</v>
      </c>
    </row>
    <row r="43" spans="1:11" ht="18" x14ac:dyDescent="0.35">
      <c r="A43" s="21"/>
      <c r="B43" s="25" t="s">
        <v>24</v>
      </c>
      <c r="C43" s="10">
        <v>189</v>
      </c>
      <c r="D43" s="10">
        <v>2303248</v>
      </c>
      <c r="E43" s="10" t="s">
        <v>19</v>
      </c>
      <c r="F43" s="10">
        <v>0.53410000000000002</v>
      </c>
      <c r="G43" s="10">
        <v>0.46589999999999998</v>
      </c>
      <c r="H43" s="10" t="s">
        <v>41</v>
      </c>
      <c r="I43" s="10" t="b">
        <v>0</v>
      </c>
      <c r="J43" s="15" t="s">
        <v>29</v>
      </c>
      <c r="K43" s="10" t="s">
        <v>34</v>
      </c>
    </row>
    <row r="44" spans="1:11" ht="18" x14ac:dyDescent="0.35">
      <c r="A44" s="21"/>
      <c r="B44" s="24" t="s">
        <v>25</v>
      </c>
      <c r="C44" s="10">
        <v>148</v>
      </c>
      <c r="D44" s="10">
        <v>2303201</v>
      </c>
      <c r="E44" s="10" t="s">
        <v>19</v>
      </c>
      <c r="F44" s="10">
        <v>0.52829999999999999</v>
      </c>
      <c r="G44" s="10">
        <v>0.47170000000000001</v>
      </c>
      <c r="H44" s="10" t="s">
        <v>31</v>
      </c>
      <c r="I44" s="10" t="b">
        <v>0</v>
      </c>
      <c r="J44" s="15" t="s">
        <v>29</v>
      </c>
      <c r="K44" s="10" t="s">
        <v>42</v>
      </c>
    </row>
    <row r="45" spans="1:11" ht="18" x14ac:dyDescent="0.35">
      <c r="A45" s="21"/>
      <c r="B45" s="24" t="s">
        <v>25</v>
      </c>
      <c r="C45" s="10">
        <v>243</v>
      </c>
      <c r="D45" s="10">
        <v>2303318</v>
      </c>
      <c r="E45" s="10" t="s">
        <v>19</v>
      </c>
      <c r="F45" s="10">
        <v>0.52290000000000003</v>
      </c>
      <c r="G45" s="10">
        <v>0.47710000000000002</v>
      </c>
      <c r="H45" s="10" t="s">
        <v>31</v>
      </c>
      <c r="I45" s="10" t="b">
        <v>0</v>
      </c>
      <c r="J45" s="15" t="s">
        <v>29</v>
      </c>
      <c r="K45" s="10" t="s">
        <v>32</v>
      </c>
    </row>
    <row r="46" spans="1:11" ht="18" x14ac:dyDescent="0.35">
      <c r="A46" s="22" t="s">
        <v>25</v>
      </c>
      <c r="B46" s="21"/>
      <c r="C46" s="10">
        <v>266</v>
      </c>
      <c r="D46" s="12">
        <v>2303343</v>
      </c>
      <c r="E46" s="10" t="s">
        <v>19</v>
      </c>
      <c r="F46" s="10">
        <v>0.51770000000000005</v>
      </c>
      <c r="G46" s="10">
        <v>0.48230000000000001</v>
      </c>
      <c r="H46" s="10" t="s">
        <v>28</v>
      </c>
      <c r="I46" s="10" t="b">
        <v>0</v>
      </c>
      <c r="J46" s="11" t="s">
        <v>27</v>
      </c>
      <c r="K46" s="10" t="s">
        <v>43</v>
      </c>
    </row>
    <row r="47" spans="1:11" ht="18" x14ac:dyDescent="0.35">
      <c r="A47" s="22" t="s">
        <v>25</v>
      </c>
      <c r="B47" s="21"/>
      <c r="C47" s="10">
        <v>155</v>
      </c>
      <c r="D47" s="12">
        <v>2303210</v>
      </c>
      <c r="E47" s="10" t="s">
        <v>19</v>
      </c>
      <c r="F47" s="10">
        <v>0.51729999999999998</v>
      </c>
      <c r="G47" s="10">
        <v>0.48270000000000002</v>
      </c>
      <c r="H47" s="10" t="s">
        <v>31</v>
      </c>
      <c r="I47" s="10" t="b">
        <v>0</v>
      </c>
      <c r="J47" s="11" t="s">
        <v>27</v>
      </c>
    </row>
    <row r="48" spans="1:11" ht="18" x14ac:dyDescent="0.35">
      <c r="A48" s="21"/>
      <c r="B48" s="24" t="s">
        <v>25</v>
      </c>
      <c r="C48" s="10">
        <v>17</v>
      </c>
      <c r="D48" s="10">
        <v>2401023</v>
      </c>
      <c r="E48" s="10" t="s">
        <v>19</v>
      </c>
      <c r="F48" s="10">
        <v>0.51149999999999995</v>
      </c>
      <c r="G48" s="10">
        <v>0.48849999999999999</v>
      </c>
      <c r="H48" s="10" t="s">
        <v>31</v>
      </c>
      <c r="I48" s="10" t="b">
        <v>0</v>
      </c>
      <c r="J48" s="15" t="s">
        <v>29</v>
      </c>
      <c r="K48" s="10" t="s">
        <v>44</v>
      </c>
    </row>
    <row r="49" spans="1:11" ht="18" x14ac:dyDescent="0.35">
      <c r="A49" s="21"/>
      <c r="B49" s="24" t="s">
        <v>25</v>
      </c>
      <c r="C49" s="10">
        <v>27</v>
      </c>
      <c r="D49" s="10">
        <v>2401039</v>
      </c>
      <c r="E49" s="10" t="s">
        <v>19</v>
      </c>
      <c r="F49" s="10">
        <v>0.50900000000000001</v>
      </c>
      <c r="G49" s="10">
        <v>0.49099999999999999</v>
      </c>
      <c r="H49" s="10" t="s">
        <v>28</v>
      </c>
      <c r="I49" s="10" t="b">
        <v>0</v>
      </c>
      <c r="J49" s="15" t="s">
        <v>29</v>
      </c>
      <c r="K49" s="10" t="s">
        <v>44</v>
      </c>
    </row>
    <row r="50" spans="1:11" ht="18" x14ac:dyDescent="0.35">
      <c r="A50" s="21"/>
      <c r="B50" s="25" t="s">
        <v>24</v>
      </c>
      <c r="C50" s="10">
        <v>159</v>
      </c>
      <c r="D50" s="10">
        <v>2303214</v>
      </c>
      <c r="E50" s="10" t="s">
        <v>19</v>
      </c>
      <c r="F50" s="10">
        <v>0.50780000000000003</v>
      </c>
      <c r="G50" s="10">
        <v>0.49220000000000003</v>
      </c>
      <c r="H50" s="10" t="s">
        <v>45</v>
      </c>
      <c r="I50" s="10" t="b">
        <v>0</v>
      </c>
      <c r="J50" s="15" t="s">
        <v>29</v>
      </c>
      <c r="K50" s="10" t="s">
        <v>34</v>
      </c>
    </row>
    <row r="51" spans="1:11" ht="18" x14ac:dyDescent="0.35">
      <c r="A51" s="21"/>
      <c r="B51" s="24" t="s">
        <v>25</v>
      </c>
      <c r="C51" s="10">
        <v>283</v>
      </c>
      <c r="D51" s="10">
        <v>2303361</v>
      </c>
      <c r="E51" s="10" t="s">
        <v>19</v>
      </c>
      <c r="F51" s="10">
        <v>0.50580000000000003</v>
      </c>
      <c r="G51" s="10">
        <v>0.49419999999999997</v>
      </c>
      <c r="H51" s="10" t="s">
        <v>31</v>
      </c>
      <c r="I51" s="10" t="b">
        <v>0</v>
      </c>
      <c r="J51" s="15" t="s">
        <v>29</v>
      </c>
      <c r="K51" s="10" t="s">
        <v>32</v>
      </c>
    </row>
    <row r="52" spans="1:11" s="18" customFormat="1" ht="18.600000000000001" thickBot="1" x14ac:dyDescent="0.4">
      <c r="A52" s="26"/>
      <c r="B52" s="25" t="s">
        <v>24</v>
      </c>
      <c r="C52" s="18">
        <v>37</v>
      </c>
      <c r="D52" s="18">
        <v>2303046</v>
      </c>
      <c r="E52" s="18" t="s">
        <v>19</v>
      </c>
      <c r="F52" s="18">
        <v>0.5</v>
      </c>
      <c r="G52" s="18">
        <v>0.5</v>
      </c>
      <c r="H52" s="18" t="s">
        <v>41</v>
      </c>
      <c r="I52" s="18" t="b">
        <v>0</v>
      </c>
      <c r="J52" s="19" t="s">
        <v>29</v>
      </c>
      <c r="K52" s="18" t="s">
        <v>34</v>
      </c>
    </row>
    <row r="53" spans="1:11" x14ac:dyDescent="0.3">
      <c r="C53" s="10">
        <v>91</v>
      </c>
      <c r="D53" s="10">
        <v>2401117</v>
      </c>
      <c r="E53" s="10" t="s">
        <v>20</v>
      </c>
      <c r="F53" s="10">
        <v>0.49359999999999998</v>
      </c>
      <c r="G53" s="10">
        <v>0.50639999999999996</v>
      </c>
      <c r="H53" s="10" t="s">
        <v>41</v>
      </c>
      <c r="I53" s="10" t="b">
        <v>0</v>
      </c>
    </row>
    <row r="54" spans="1:11" x14ac:dyDescent="0.3">
      <c r="C54" s="10">
        <v>280</v>
      </c>
      <c r="D54" s="10">
        <v>2303358</v>
      </c>
      <c r="E54" s="10" t="s">
        <v>20</v>
      </c>
      <c r="F54" s="10">
        <v>0.49009999999999998</v>
      </c>
      <c r="G54" s="10">
        <v>0.50990000000000002</v>
      </c>
      <c r="H54" s="10" t="s">
        <v>28</v>
      </c>
      <c r="I54" s="10" t="b">
        <v>0</v>
      </c>
    </row>
    <row r="55" spans="1:11" x14ac:dyDescent="0.3">
      <c r="C55" s="10">
        <v>149</v>
      </c>
      <c r="D55" s="10">
        <v>2303202</v>
      </c>
      <c r="E55" s="10" t="s">
        <v>20</v>
      </c>
      <c r="F55" s="10">
        <v>0.48049999999999998</v>
      </c>
      <c r="G55" s="10">
        <v>0.51949999999999996</v>
      </c>
      <c r="H55" s="10" t="s">
        <v>31</v>
      </c>
      <c r="I55" s="10" t="b">
        <v>0</v>
      </c>
    </row>
    <row r="56" spans="1:11" x14ac:dyDescent="0.3">
      <c r="C56" s="10">
        <v>59</v>
      </c>
      <c r="D56" s="10">
        <v>2303071</v>
      </c>
      <c r="E56" s="10" t="s">
        <v>20</v>
      </c>
      <c r="F56" s="10">
        <v>0.47649999999999998</v>
      </c>
      <c r="G56" s="10">
        <v>0.52349999999999997</v>
      </c>
      <c r="H56" s="10" t="s">
        <v>41</v>
      </c>
      <c r="I56" s="10" t="b">
        <v>0</v>
      </c>
    </row>
    <row r="57" spans="1:11" x14ac:dyDescent="0.3">
      <c r="C57" s="10">
        <v>117</v>
      </c>
      <c r="D57" s="10">
        <v>2303154</v>
      </c>
      <c r="E57" s="10" t="s">
        <v>20</v>
      </c>
      <c r="F57" s="10">
        <v>0.47449999999999998</v>
      </c>
      <c r="G57" s="10">
        <v>0.52549999999999997</v>
      </c>
      <c r="H57" s="10" t="s">
        <v>31</v>
      </c>
      <c r="I57" s="10" t="b">
        <v>0</v>
      </c>
    </row>
    <row r="58" spans="1:11" x14ac:dyDescent="0.3">
      <c r="C58" s="10">
        <v>49</v>
      </c>
      <c r="D58" s="10">
        <v>2401063</v>
      </c>
      <c r="E58" s="10" t="s">
        <v>20</v>
      </c>
      <c r="F58" s="10">
        <v>0.4713</v>
      </c>
      <c r="G58" s="10">
        <v>0.52869999999999995</v>
      </c>
      <c r="H58" s="10" t="s">
        <v>28</v>
      </c>
      <c r="I58" s="10" t="b">
        <v>0</v>
      </c>
    </row>
    <row r="59" spans="1:11" x14ac:dyDescent="0.3">
      <c r="C59" s="10">
        <v>190</v>
      </c>
      <c r="D59" s="10">
        <v>2303249</v>
      </c>
      <c r="E59" s="10" t="s">
        <v>20</v>
      </c>
      <c r="F59" s="10">
        <v>0.45829999999999999</v>
      </c>
      <c r="G59" s="10">
        <v>0.54169999999999996</v>
      </c>
      <c r="H59" s="10" t="s">
        <v>31</v>
      </c>
      <c r="I59" s="10" t="b">
        <v>0</v>
      </c>
    </row>
    <row r="60" spans="1:11" x14ac:dyDescent="0.3">
      <c r="C60" s="10">
        <v>227</v>
      </c>
      <c r="D60" s="10">
        <v>2303298</v>
      </c>
      <c r="E60" s="10" t="s">
        <v>20</v>
      </c>
      <c r="F60" s="10">
        <v>0.45619999999999999</v>
      </c>
      <c r="G60" s="10">
        <v>0.54379999999999995</v>
      </c>
      <c r="H60" s="10" t="s">
        <v>38</v>
      </c>
      <c r="I60" s="10" t="b">
        <v>0</v>
      </c>
    </row>
    <row r="61" spans="1:11" x14ac:dyDescent="0.3">
      <c r="C61" s="10">
        <v>93</v>
      </c>
      <c r="D61" s="10">
        <v>2303121</v>
      </c>
      <c r="E61" s="10" t="s">
        <v>20</v>
      </c>
      <c r="F61" s="10">
        <v>0.45079999999999998</v>
      </c>
      <c r="G61" s="10">
        <v>0.54920000000000002</v>
      </c>
      <c r="H61" s="10" t="s">
        <v>28</v>
      </c>
      <c r="I61" s="10" t="b">
        <v>0</v>
      </c>
    </row>
    <row r="62" spans="1:11" x14ac:dyDescent="0.3">
      <c r="C62" s="10">
        <v>178</v>
      </c>
      <c r="D62" s="10">
        <v>2303235</v>
      </c>
      <c r="E62" s="10" t="s">
        <v>20</v>
      </c>
      <c r="F62" s="10">
        <v>0.4486</v>
      </c>
      <c r="G62" s="10">
        <v>0.5514</v>
      </c>
      <c r="H62" s="10" t="s">
        <v>31</v>
      </c>
      <c r="I62" s="10" t="b">
        <v>0</v>
      </c>
    </row>
    <row r="63" spans="1:11" x14ac:dyDescent="0.3">
      <c r="C63" s="10">
        <v>111</v>
      </c>
      <c r="D63" s="10">
        <v>2303146</v>
      </c>
      <c r="E63" s="10" t="s">
        <v>20</v>
      </c>
      <c r="F63" s="10">
        <v>0.44800000000000001</v>
      </c>
      <c r="G63" s="10">
        <v>0.55200000000000005</v>
      </c>
      <c r="H63" s="10" t="s">
        <v>31</v>
      </c>
      <c r="I63" s="10" t="b">
        <v>0</v>
      </c>
    </row>
    <row r="64" spans="1:11" x14ac:dyDescent="0.3">
      <c r="C64" s="10">
        <v>89</v>
      </c>
      <c r="D64" s="10">
        <v>2303115</v>
      </c>
      <c r="E64" s="10" t="s">
        <v>20</v>
      </c>
      <c r="F64" s="10">
        <v>0.43890000000000001</v>
      </c>
      <c r="G64" s="10">
        <v>0.56110000000000004</v>
      </c>
      <c r="H64" s="10" t="s">
        <v>31</v>
      </c>
      <c r="I64" s="10" t="b">
        <v>0</v>
      </c>
    </row>
    <row r="65" spans="3:9" x14ac:dyDescent="0.3">
      <c r="C65" s="10">
        <v>253</v>
      </c>
      <c r="D65" s="10">
        <v>2303330</v>
      </c>
      <c r="E65" s="10" t="s">
        <v>20</v>
      </c>
      <c r="F65" s="10">
        <v>0.43</v>
      </c>
      <c r="G65" s="10">
        <v>0.56999999999999995</v>
      </c>
      <c r="H65" s="10" t="s">
        <v>31</v>
      </c>
      <c r="I65" s="10" t="b">
        <v>0</v>
      </c>
    </row>
    <row r="66" spans="3:9" x14ac:dyDescent="0.3">
      <c r="C66" s="10">
        <v>58</v>
      </c>
      <c r="D66" s="10">
        <v>2401074</v>
      </c>
      <c r="E66" s="10" t="s">
        <v>20</v>
      </c>
      <c r="F66" s="10">
        <v>0.42709999999999998</v>
      </c>
      <c r="G66" s="10">
        <v>0.57289999999999996</v>
      </c>
      <c r="H66" s="10" t="s">
        <v>31</v>
      </c>
      <c r="I66" s="10" t="b">
        <v>0</v>
      </c>
    </row>
    <row r="67" spans="3:9" x14ac:dyDescent="0.3">
      <c r="C67" s="10">
        <v>204</v>
      </c>
      <c r="D67" s="10">
        <v>2303267</v>
      </c>
      <c r="E67" s="10" t="s">
        <v>20</v>
      </c>
      <c r="F67" s="10">
        <v>0.4224</v>
      </c>
      <c r="G67" s="10">
        <v>0.5776</v>
      </c>
      <c r="H67" s="10" t="s">
        <v>31</v>
      </c>
      <c r="I67" s="10" t="b">
        <v>0</v>
      </c>
    </row>
    <row r="68" spans="3:9" x14ac:dyDescent="0.3">
      <c r="C68" s="10">
        <v>216</v>
      </c>
      <c r="D68" s="10">
        <v>2303281</v>
      </c>
      <c r="E68" s="10" t="s">
        <v>20</v>
      </c>
      <c r="F68" s="10">
        <v>0.41930000000000001</v>
      </c>
      <c r="G68" s="10">
        <v>0.58069999999999999</v>
      </c>
      <c r="H68" s="10" t="s">
        <v>46</v>
      </c>
      <c r="I68" s="10" t="b">
        <v>0</v>
      </c>
    </row>
    <row r="69" spans="3:9" x14ac:dyDescent="0.3">
      <c r="C69" s="10">
        <v>261</v>
      </c>
      <c r="D69" s="10">
        <v>2303338</v>
      </c>
      <c r="E69" s="10" t="s">
        <v>20</v>
      </c>
      <c r="F69" s="10">
        <v>0.41320000000000001</v>
      </c>
      <c r="G69" s="10">
        <v>0.58679999999999999</v>
      </c>
      <c r="H69" s="10" t="s">
        <v>28</v>
      </c>
      <c r="I69" s="10" t="b">
        <v>0</v>
      </c>
    </row>
    <row r="70" spans="3:9" x14ac:dyDescent="0.3">
      <c r="C70" s="10">
        <v>203</v>
      </c>
      <c r="D70" s="10">
        <v>2303266</v>
      </c>
      <c r="E70" s="10" t="s">
        <v>20</v>
      </c>
      <c r="F70" s="10">
        <v>0.39979999999999999</v>
      </c>
      <c r="G70" s="10">
        <v>0.60019999999999996</v>
      </c>
      <c r="H70" s="10" t="s">
        <v>38</v>
      </c>
      <c r="I70" s="10" t="b">
        <v>0</v>
      </c>
    </row>
    <row r="71" spans="3:9" x14ac:dyDescent="0.3">
      <c r="C71" s="10">
        <v>143</v>
      </c>
      <c r="D71" s="10">
        <v>2303191</v>
      </c>
      <c r="E71" s="10" t="s">
        <v>20</v>
      </c>
      <c r="F71" s="10">
        <v>0.39100000000000001</v>
      </c>
      <c r="G71" s="10">
        <v>0.60899999999999999</v>
      </c>
      <c r="H71" s="10" t="s">
        <v>31</v>
      </c>
      <c r="I71" s="10" t="b">
        <v>0</v>
      </c>
    </row>
    <row r="72" spans="3:9" x14ac:dyDescent="0.3">
      <c r="C72" s="10">
        <v>116</v>
      </c>
      <c r="D72" s="10">
        <v>2303153</v>
      </c>
      <c r="E72" s="10" t="s">
        <v>20</v>
      </c>
      <c r="F72" s="10">
        <v>0.38019999999999998</v>
      </c>
      <c r="G72" s="10">
        <v>0.61980000000000002</v>
      </c>
      <c r="H72" s="10" t="s">
        <v>31</v>
      </c>
      <c r="I72" s="10" t="b">
        <v>0</v>
      </c>
    </row>
    <row r="73" spans="3:9" x14ac:dyDescent="0.3">
      <c r="C73" s="10">
        <v>163</v>
      </c>
      <c r="D73" s="10">
        <v>2303218</v>
      </c>
      <c r="E73" s="10" t="s">
        <v>20</v>
      </c>
      <c r="F73" s="10">
        <v>0.37269999999999998</v>
      </c>
      <c r="G73" s="10">
        <v>0.62729999999999997</v>
      </c>
      <c r="H73" s="10" t="s">
        <v>31</v>
      </c>
      <c r="I73" s="10" t="b">
        <v>0</v>
      </c>
    </row>
    <row r="74" spans="3:9" x14ac:dyDescent="0.3">
      <c r="C74" s="10">
        <v>136</v>
      </c>
      <c r="D74" s="10">
        <v>2303181</v>
      </c>
      <c r="E74" s="10" t="s">
        <v>20</v>
      </c>
      <c r="F74" s="10">
        <v>0.371</v>
      </c>
      <c r="G74" s="10">
        <v>0.629</v>
      </c>
      <c r="H74" s="10" t="s">
        <v>31</v>
      </c>
      <c r="I74" s="10" t="b">
        <v>0</v>
      </c>
    </row>
    <row r="75" spans="3:9" x14ac:dyDescent="0.3">
      <c r="C75" s="10">
        <v>24</v>
      </c>
      <c r="D75" s="10">
        <v>2401030</v>
      </c>
      <c r="E75" s="10" t="s">
        <v>20</v>
      </c>
      <c r="F75" s="10">
        <v>0.36530000000000001</v>
      </c>
      <c r="G75" s="10">
        <v>0.63470000000000004</v>
      </c>
      <c r="H75" s="10" t="s">
        <v>33</v>
      </c>
      <c r="I75" s="10" t="b">
        <v>0</v>
      </c>
    </row>
    <row r="76" spans="3:9" x14ac:dyDescent="0.3">
      <c r="C76" s="10">
        <v>16</v>
      </c>
      <c r="D76" s="10">
        <v>2303021</v>
      </c>
      <c r="E76" s="10" t="s">
        <v>20</v>
      </c>
      <c r="F76" s="10">
        <v>0.36459999999999998</v>
      </c>
      <c r="G76" s="10">
        <v>0.63539999999999996</v>
      </c>
      <c r="H76" s="10" t="s">
        <v>38</v>
      </c>
      <c r="I76" s="10" t="b">
        <v>0</v>
      </c>
    </row>
    <row r="77" spans="3:9" x14ac:dyDescent="0.3">
      <c r="C77" s="10">
        <v>236</v>
      </c>
      <c r="D77" s="10">
        <v>2303307</v>
      </c>
      <c r="E77" s="10" t="s">
        <v>20</v>
      </c>
      <c r="F77" s="10">
        <v>0.36259999999999998</v>
      </c>
      <c r="G77" s="10">
        <v>0.63739999999999997</v>
      </c>
      <c r="H77" s="10" t="s">
        <v>31</v>
      </c>
      <c r="I77" s="10" t="b">
        <v>0</v>
      </c>
    </row>
    <row r="78" spans="3:9" x14ac:dyDescent="0.3">
      <c r="C78" s="10">
        <v>245</v>
      </c>
      <c r="D78" s="10">
        <v>2303320</v>
      </c>
      <c r="E78" s="10" t="s">
        <v>20</v>
      </c>
      <c r="F78" s="10">
        <v>0.3553</v>
      </c>
      <c r="G78" s="10">
        <v>0.64470000000000005</v>
      </c>
      <c r="H78" s="10" t="s">
        <v>41</v>
      </c>
      <c r="I78" s="10" t="b">
        <v>0</v>
      </c>
    </row>
    <row r="79" spans="3:9" x14ac:dyDescent="0.3">
      <c r="C79" s="10">
        <v>199</v>
      </c>
      <c r="D79" s="10">
        <v>2303260</v>
      </c>
      <c r="E79" s="10" t="s">
        <v>20</v>
      </c>
      <c r="F79" s="10">
        <v>0.35310000000000002</v>
      </c>
      <c r="G79" s="10">
        <v>0.64690000000000003</v>
      </c>
      <c r="H79" s="10" t="s">
        <v>38</v>
      </c>
      <c r="I79" s="10" t="b">
        <v>0</v>
      </c>
    </row>
    <row r="80" spans="3:9" x14ac:dyDescent="0.3">
      <c r="C80" s="10">
        <v>46</v>
      </c>
      <c r="D80" s="10">
        <v>2303055</v>
      </c>
      <c r="E80" s="10" t="s">
        <v>20</v>
      </c>
      <c r="F80" s="10">
        <v>0.3508</v>
      </c>
      <c r="G80" s="10">
        <v>0.6492</v>
      </c>
      <c r="H80" s="10" t="s">
        <v>26</v>
      </c>
      <c r="I80" s="10" t="b">
        <v>0</v>
      </c>
    </row>
    <row r="81" spans="3:9" x14ac:dyDescent="0.3">
      <c r="C81" s="10">
        <v>195</v>
      </c>
      <c r="D81" s="10">
        <v>2303256</v>
      </c>
      <c r="E81" s="10" t="s">
        <v>20</v>
      </c>
      <c r="F81" s="10">
        <v>0.34499999999999997</v>
      </c>
      <c r="G81" s="10">
        <v>0.65500000000000003</v>
      </c>
      <c r="H81" s="10" t="s">
        <v>31</v>
      </c>
      <c r="I81" s="10" t="b">
        <v>0</v>
      </c>
    </row>
    <row r="82" spans="3:9" x14ac:dyDescent="0.3">
      <c r="C82" s="10">
        <v>282</v>
      </c>
      <c r="D82" s="10">
        <v>2303360</v>
      </c>
      <c r="E82" s="10" t="s">
        <v>20</v>
      </c>
      <c r="F82" s="10">
        <v>0.34289999999999998</v>
      </c>
      <c r="G82" s="10">
        <v>0.65710000000000002</v>
      </c>
      <c r="H82" s="10" t="s">
        <v>33</v>
      </c>
      <c r="I82" s="10" t="b">
        <v>0</v>
      </c>
    </row>
    <row r="83" spans="3:9" x14ac:dyDescent="0.3">
      <c r="C83" s="10">
        <v>273</v>
      </c>
      <c r="D83" s="10">
        <v>2303351</v>
      </c>
      <c r="E83" s="10" t="s">
        <v>20</v>
      </c>
      <c r="F83" s="10">
        <v>0.33889999999999998</v>
      </c>
      <c r="G83" s="10">
        <v>0.66110000000000002</v>
      </c>
      <c r="H83" s="10" t="s">
        <v>47</v>
      </c>
      <c r="I83" s="10" t="b">
        <v>0</v>
      </c>
    </row>
    <row r="84" spans="3:9" x14ac:dyDescent="0.3">
      <c r="C84" s="10">
        <v>94</v>
      </c>
      <c r="D84" s="10">
        <v>2401121</v>
      </c>
      <c r="E84" s="10" t="s">
        <v>20</v>
      </c>
      <c r="F84" s="10">
        <v>0.33439999999999998</v>
      </c>
      <c r="G84" s="10">
        <v>0.66559999999999997</v>
      </c>
      <c r="H84" s="10" t="s">
        <v>31</v>
      </c>
      <c r="I84" s="10" t="b">
        <v>0</v>
      </c>
    </row>
    <row r="85" spans="3:9" x14ac:dyDescent="0.3">
      <c r="C85" s="10">
        <v>182</v>
      </c>
      <c r="D85" s="10">
        <v>2303240</v>
      </c>
      <c r="E85" s="10" t="s">
        <v>20</v>
      </c>
      <c r="F85" s="10">
        <v>0.33410000000000001</v>
      </c>
      <c r="G85" s="10">
        <v>0.66590000000000005</v>
      </c>
      <c r="H85" s="10" t="s">
        <v>31</v>
      </c>
      <c r="I85" s="10" t="b">
        <v>0</v>
      </c>
    </row>
    <row r="86" spans="3:9" x14ac:dyDescent="0.3">
      <c r="C86" s="10">
        <v>211</v>
      </c>
      <c r="D86" s="10">
        <v>2303274</v>
      </c>
      <c r="E86" s="10" t="s">
        <v>20</v>
      </c>
      <c r="F86" s="10">
        <v>0.3286</v>
      </c>
      <c r="G86" s="10">
        <v>0.6714</v>
      </c>
      <c r="H86" s="10" t="s">
        <v>31</v>
      </c>
      <c r="I86" s="10" t="b">
        <v>0</v>
      </c>
    </row>
    <row r="87" spans="3:9" x14ac:dyDescent="0.3">
      <c r="C87" s="10">
        <v>88</v>
      </c>
      <c r="D87" s="10">
        <v>2303114</v>
      </c>
      <c r="E87" s="10" t="s">
        <v>20</v>
      </c>
      <c r="F87" s="10">
        <v>0.32850000000000001</v>
      </c>
      <c r="G87" s="10">
        <v>0.67149999999999999</v>
      </c>
      <c r="H87" s="10" t="s">
        <v>47</v>
      </c>
      <c r="I87" s="10" t="b">
        <v>0</v>
      </c>
    </row>
    <row r="88" spans="3:9" x14ac:dyDescent="0.3">
      <c r="C88" s="10">
        <v>30</v>
      </c>
      <c r="D88" s="10">
        <v>2401043</v>
      </c>
      <c r="E88" s="10" t="s">
        <v>20</v>
      </c>
      <c r="F88" s="10">
        <v>0.31830000000000003</v>
      </c>
      <c r="G88" s="10">
        <v>0.68169999999999997</v>
      </c>
      <c r="H88" s="10" t="s">
        <v>26</v>
      </c>
      <c r="I88" s="10" t="b">
        <v>0</v>
      </c>
    </row>
    <row r="89" spans="3:9" x14ac:dyDescent="0.3">
      <c r="C89" s="10">
        <v>223</v>
      </c>
      <c r="D89" s="10">
        <v>2303293</v>
      </c>
      <c r="E89" s="10" t="s">
        <v>20</v>
      </c>
      <c r="F89" s="10">
        <v>0.31440000000000001</v>
      </c>
      <c r="G89" s="10">
        <v>0.68559999999999999</v>
      </c>
      <c r="H89" s="10" t="s">
        <v>47</v>
      </c>
      <c r="I89" s="10" t="b">
        <v>0</v>
      </c>
    </row>
    <row r="90" spans="3:9" x14ac:dyDescent="0.3">
      <c r="C90" s="10">
        <v>219</v>
      </c>
      <c r="D90" s="10">
        <v>2303287</v>
      </c>
      <c r="E90" s="10" t="s">
        <v>20</v>
      </c>
      <c r="F90" s="10">
        <v>0.31</v>
      </c>
      <c r="G90" s="10">
        <v>0.69</v>
      </c>
      <c r="H90" s="10" t="s">
        <v>41</v>
      </c>
      <c r="I90" s="10" t="b">
        <v>0</v>
      </c>
    </row>
    <row r="91" spans="3:9" x14ac:dyDescent="0.3">
      <c r="C91" s="10">
        <v>244</v>
      </c>
      <c r="D91" s="10">
        <v>2303319</v>
      </c>
      <c r="E91" s="10" t="s">
        <v>20</v>
      </c>
      <c r="F91" s="10">
        <v>0.30809999999999998</v>
      </c>
      <c r="G91" s="10">
        <v>0.69189999999999996</v>
      </c>
      <c r="H91" s="10" t="s">
        <v>38</v>
      </c>
      <c r="I91" s="10" t="b">
        <v>0</v>
      </c>
    </row>
    <row r="92" spans="3:9" x14ac:dyDescent="0.3">
      <c r="C92" s="10">
        <v>14</v>
      </c>
      <c r="D92" s="10">
        <v>2401020</v>
      </c>
      <c r="E92" s="10" t="s">
        <v>20</v>
      </c>
      <c r="F92" s="10">
        <v>0.3054</v>
      </c>
      <c r="G92" s="10">
        <v>0.6946</v>
      </c>
      <c r="H92" s="10" t="s">
        <v>48</v>
      </c>
      <c r="I92" s="10" t="b">
        <v>0</v>
      </c>
    </row>
    <row r="93" spans="3:9" x14ac:dyDescent="0.3">
      <c r="C93" s="10">
        <v>60</v>
      </c>
      <c r="D93" s="10">
        <v>2401076</v>
      </c>
      <c r="E93" s="10" t="s">
        <v>20</v>
      </c>
      <c r="F93" s="10">
        <v>0.30180000000000001</v>
      </c>
      <c r="G93" s="10">
        <v>0.69820000000000004</v>
      </c>
      <c r="H93" s="10" t="s">
        <v>31</v>
      </c>
      <c r="I93" s="10" t="b">
        <v>0</v>
      </c>
    </row>
    <row r="94" spans="3:9" x14ac:dyDescent="0.3">
      <c r="C94" s="10">
        <v>102</v>
      </c>
      <c r="D94" s="10">
        <v>2401131</v>
      </c>
      <c r="E94" s="10" t="s">
        <v>20</v>
      </c>
      <c r="F94" s="10">
        <v>0.29149999999999998</v>
      </c>
      <c r="G94" s="10">
        <v>0.70850000000000002</v>
      </c>
      <c r="H94" s="10" t="s">
        <v>31</v>
      </c>
      <c r="I94" s="10" t="b">
        <v>0</v>
      </c>
    </row>
    <row r="95" spans="3:9" x14ac:dyDescent="0.3">
      <c r="C95" s="10">
        <v>60</v>
      </c>
      <c r="D95" s="10">
        <v>2303073</v>
      </c>
      <c r="E95" s="10" t="s">
        <v>20</v>
      </c>
      <c r="F95" s="10">
        <v>0.28620000000000001</v>
      </c>
      <c r="G95" s="10">
        <v>0.71379999999999999</v>
      </c>
      <c r="H95" s="10" t="s">
        <v>33</v>
      </c>
      <c r="I95" s="10" t="b">
        <v>0</v>
      </c>
    </row>
    <row r="96" spans="3:9" x14ac:dyDescent="0.3">
      <c r="C96" s="10">
        <v>45</v>
      </c>
      <c r="D96" s="10">
        <v>2303054</v>
      </c>
      <c r="E96" s="10" t="s">
        <v>20</v>
      </c>
      <c r="F96" s="10">
        <v>0.28399999999999997</v>
      </c>
      <c r="G96" s="10">
        <v>0.71599999999999997</v>
      </c>
      <c r="H96" s="10" t="s">
        <v>49</v>
      </c>
      <c r="I96" s="10" t="b">
        <v>0</v>
      </c>
    </row>
    <row r="97" spans="3:9" x14ac:dyDescent="0.3">
      <c r="C97" s="10">
        <v>96</v>
      </c>
      <c r="D97" s="10">
        <v>2401123</v>
      </c>
      <c r="E97" s="10" t="s">
        <v>20</v>
      </c>
      <c r="F97" s="10">
        <v>0.2828</v>
      </c>
      <c r="G97" s="10">
        <v>0.71719999999999995</v>
      </c>
      <c r="H97" s="10" t="s">
        <v>31</v>
      </c>
      <c r="I97" s="10" t="b">
        <v>0</v>
      </c>
    </row>
    <row r="98" spans="3:9" x14ac:dyDescent="0.3">
      <c r="C98" s="10">
        <v>127</v>
      </c>
      <c r="D98" s="10">
        <v>2303168</v>
      </c>
      <c r="E98" s="10" t="s">
        <v>20</v>
      </c>
      <c r="F98" s="10">
        <v>0.27429999999999999</v>
      </c>
      <c r="G98" s="10">
        <v>0.72570000000000001</v>
      </c>
      <c r="H98" s="10" t="s">
        <v>41</v>
      </c>
      <c r="I98" s="10" t="b">
        <v>0</v>
      </c>
    </row>
    <row r="99" spans="3:9" x14ac:dyDescent="0.3">
      <c r="C99" s="10">
        <v>164</v>
      </c>
      <c r="D99" s="10">
        <v>2303219</v>
      </c>
      <c r="E99" s="10" t="s">
        <v>20</v>
      </c>
      <c r="F99" s="10">
        <v>0.27360000000000001</v>
      </c>
      <c r="G99" s="10">
        <v>0.72640000000000005</v>
      </c>
      <c r="H99" s="10" t="s">
        <v>31</v>
      </c>
      <c r="I99" s="10" t="b">
        <v>0</v>
      </c>
    </row>
    <row r="100" spans="3:9" x14ac:dyDescent="0.3">
      <c r="C100" s="10">
        <v>193</v>
      </c>
      <c r="D100" s="10">
        <v>2303252</v>
      </c>
      <c r="E100" s="10" t="s">
        <v>20</v>
      </c>
      <c r="F100" s="10">
        <v>0.2732</v>
      </c>
      <c r="G100" s="10">
        <v>0.7268</v>
      </c>
      <c r="H100" s="10" t="s">
        <v>47</v>
      </c>
      <c r="I100" s="10" t="b">
        <v>0</v>
      </c>
    </row>
    <row r="101" spans="3:9" x14ac:dyDescent="0.3">
      <c r="C101" s="10">
        <v>32</v>
      </c>
      <c r="D101" s="10">
        <v>2303041</v>
      </c>
      <c r="E101" s="10" t="s">
        <v>20</v>
      </c>
      <c r="F101" s="10">
        <v>0.26679999999999998</v>
      </c>
      <c r="G101" s="10">
        <v>0.73319999999999996</v>
      </c>
      <c r="H101" s="10" t="s">
        <v>50</v>
      </c>
      <c r="I101" s="10" t="b">
        <v>0</v>
      </c>
    </row>
    <row r="102" spans="3:9" x14ac:dyDescent="0.3">
      <c r="C102" s="10">
        <v>213</v>
      </c>
      <c r="D102" s="10">
        <v>2303276</v>
      </c>
      <c r="E102" s="10" t="s">
        <v>20</v>
      </c>
      <c r="F102" s="10">
        <v>0.26540000000000002</v>
      </c>
      <c r="G102" s="10">
        <v>0.73460000000000003</v>
      </c>
      <c r="H102" s="10" t="s">
        <v>31</v>
      </c>
      <c r="I102" s="10" t="b">
        <v>0</v>
      </c>
    </row>
    <row r="103" spans="3:9" x14ac:dyDescent="0.3">
      <c r="C103" s="10">
        <v>262</v>
      </c>
      <c r="D103" s="10">
        <v>2303339</v>
      </c>
      <c r="E103" s="10" t="s">
        <v>20</v>
      </c>
      <c r="F103" s="10">
        <v>0.26519999999999999</v>
      </c>
      <c r="G103" s="10">
        <v>0.73480000000000001</v>
      </c>
      <c r="H103" s="10" t="s">
        <v>49</v>
      </c>
      <c r="I103" s="10" t="b">
        <v>0</v>
      </c>
    </row>
    <row r="104" spans="3:9" x14ac:dyDescent="0.3">
      <c r="C104" s="10">
        <v>54</v>
      </c>
      <c r="D104" s="10">
        <v>2401069</v>
      </c>
      <c r="E104" s="10" t="s">
        <v>20</v>
      </c>
      <c r="F104" s="10">
        <v>0.26119999999999999</v>
      </c>
      <c r="G104" s="10">
        <v>0.73880000000000001</v>
      </c>
      <c r="H104" s="10" t="s">
        <v>33</v>
      </c>
      <c r="I104" s="10" t="b">
        <v>0</v>
      </c>
    </row>
    <row r="105" spans="3:9" x14ac:dyDescent="0.3">
      <c r="C105" s="10">
        <v>287</v>
      </c>
      <c r="D105" s="10">
        <v>2303365</v>
      </c>
      <c r="E105" s="10" t="s">
        <v>20</v>
      </c>
      <c r="F105" s="10">
        <v>0.26100000000000001</v>
      </c>
      <c r="G105" s="10">
        <v>0.73899999999999999</v>
      </c>
      <c r="H105" s="10" t="s">
        <v>31</v>
      </c>
      <c r="I105" s="10" t="b">
        <v>0</v>
      </c>
    </row>
    <row r="106" spans="3:9" x14ac:dyDescent="0.3">
      <c r="C106" s="10">
        <v>192</v>
      </c>
      <c r="D106" s="10">
        <v>2303251</v>
      </c>
      <c r="E106" s="10" t="s">
        <v>20</v>
      </c>
      <c r="F106" s="10">
        <v>0.2591</v>
      </c>
      <c r="G106" s="10">
        <v>0.7409</v>
      </c>
      <c r="H106" s="10" t="s">
        <v>31</v>
      </c>
      <c r="I106" s="10" t="b">
        <v>0</v>
      </c>
    </row>
    <row r="107" spans="3:9" x14ac:dyDescent="0.3">
      <c r="C107" s="10">
        <v>44</v>
      </c>
      <c r="D107" s="10">
        <v>2303053</v>
      </c>
      <c r="E107" s="10" t="s">
        <v>20</v>
      </c>
      <c r="F107" s="10">
        <v>0.253</v>
      </c>
      <c r="G107" s="10">
        <v>0.747</v>
      </c>
      <c r="H107" s="10" t="s">
        <v>26</v>
      </c>
      <c r="I107" s="10" t="b">
        <v>0</v>
      </c>
    </row>
    <row r="108" spans="3:9" x14ac:dyDescent="0.3">
      <c r="C108" s="10">
        <v>92</v>
      </c>
      <c r="D108" s="10">
        <v>2303118</v>
      </c>
      <c r="E108" s="10" t="s">
        <v>20</v>
      </c>
      <c r="F108" s="10">
        <v>0.25109999999999999</v>
      </c>
      <c r="G108" s="10">
        <v>0.74890000000000001</v>
      </c>
      <c r="H108" s="10" t="s">
        <v>31</v>
      </c>
      <c r="I108" s="10" t="b">
        <v>0</v>
      </c>
    </row>
    <row r="109" spans="3:9" x14ac:dyDescent="0.3">
      <c r="C109" s="10">
        <v>104</v>
      </c>
      <c r="D109" s="10">
        <v>2303135</v>
      </c>
      <c r="E109" s="10" t="s">
        <v>20</v>
      </c>
      <c r="F109" s="10">
        <v>0.249</v>
      </c>
      <c r="G109" s="10">
        <v>0.751</v>
      </c>
      <c r="H109" s="10" t="s">
        <v>26</v>
      </c>
      <c r="I109" s="10" t="b">
        <v>0</v>
      </c>
    </row>
    <row r="110" spans="3:9" x14ac:dyDescent="0.3">
      <c r="C110" s="10">
        <v>56</v>
      </c>
      <c r="D110" s="10">
        <v>2401071</v>
      </c>
      <c r="E110" s="10" t="s">
        <v>20</v>
      </c>
      <c r="F110" s="10">
        <v>0.2475</v>
      </c>
      <c r="G110" s="10">
        <v>0.75249999999999995</v>
      </c>
      <c r="H110" s="10" t="s">
        <v>31</v>
      </c>
      <c r="I110" s="10" t="b">
        <v>0</v>
      </c>
    </row>
    <row r="111" spans="3:9" x14ac:dyDescent="0.3">
      <c r="C111" s="10">
        <v>55</v>
      </c>
      <c r="D111" s="10">
        <v>2401070</v>
      </c>
      <c r="E111" s="10" t="s">
        <v>20</v>
      </c>
      <c r="F111" s="10">
        <v>0.24660000000000001</v>
      </c>
      <c r="G111" s="10">
        <v>0.75339999999999996</v>
      </c>
      <c r="H111" s="10" t="s">
        <v>26</v>
      </c>
      <c r="I111" s="10" t="b">
        <v>0</v>
      </c>
    </row>
    <row r="112" spans="3:9" x14ac:dyDescent="0.3">
      <c r="C112" s="10">
        <v>93</v>
      </c>
      <c r="D112" s="10">
        <v>2401120</v>
      </c>
      <c r="E112" s="10" t="s">
        <v>20</v>
      </c>
      <c r="F112" s="10">
        <v>0.23449999999999999</v>
      </c>
      <c r="G112" s="10">
        <v>0.76549999999999996</v>
      </c>
      <c r="H112" s="10" t="s">
        <v>31</v>
      </c>
      <c r="I112" s="10" t="b">
        <v>0</v>
      </c>
    </row>
    <row r="113" spans="3:9" x14ac:dyDescent="0.3">
      <c r="C113" s="10">
        <v>188</v>
      </c>
      <c r="D113" s="10">
        <v>2303246</v>
      </c>
      <c r="E113" s="10" t="s">
        <v>20</v>
      </c>
      <c r="F113" s="10">
        <v>0.23430000000000001</v>
      </c>
      <c r="G113" s="10">
        <v>0.76570000000000005</v>
      </c>
      <c r="H113" s="10" t="s">
        <v>31</v>
      </c>
      <c r="I113" s="10" t="b">
        <v>0</v>
      </c>
    </row>
    <row r="114" spans="3:9" x14ac:dyDescent="0.3">
      <c r="C114" s="10">
        <v>68</v>
      </c>
      <c r="D114" s="10">
        <v>2303086</v>
      </c>
      <c r="E114" s="10" t="s">
        <v>20</v>
      </c>
      <c r="F114" s="10">
        <v>0.23380000000000001</v>
      </c>
      <c r="G114" s="10">
        <v>0.76619999999999999</v>
      </c>
      <c r="H114" s="10" t="s">
        <v>46</v>
      </c>
      <c r="I114" s="10" t="b">
        <v>0</v>
      </c>
    </row>
    <row r="115" spans="3:9" x14ac:dyDescent="0.3">
      <c r="C115" s="10">
        <v>31</v>
      </c>
      <c r="D115" s="10">
        <v>2303040</v>
      </c>
      <c r="E115" s="10" t="s">
        <v>20</v>
      </c>
      <c r="F115" s="10">
        <v>0.2324</v>
      </c>
      <c r="G115" s="10">
        <v>0.76759999999999995</v>
      </c>
      <c r="H115" s="10" t="s">
        <v>26</v>
      </c>
      <c r="I115" s="10" t="b">
        <v>0</v>
      </c>
    </row>
    <row r="116" spans="3:9" x14ac:dyDescent="0.3">
      <c r="C116" s="10">
        <v>15</v>
      </c>
      <c r="D116" s="10">
        <v>2401021</v>
      </c>
      <c r="E116" s="10" t="s">
        <v>20</v>
      </c>
      <c r="F116" s="10">
        <v>0.23230000000000001</v>
      </c>
      <c r="G116" s="10">
        <v>0.76770000000000005</v>
      </c>
      <c r="H116" s="10" t="s">
        <v>48</v>
      </c>
      <c r="I116" s="10" t="b">
        <v>0</v>
      </c>
    </row>
    <row r="117" spans="3:9" x14ac:dyDescent="0.3">
      <c r="C117" s="10">
        <v>28</v>
      </c>
      <c r="D117" s="10">
        <v>2401040</v>
      </c>
      <c r="E117" s="10" t="s">
        <v>20</v>
      </c>
      <c r="F117" s="10">
        <v>0.23019999999999999</v>
      </c>
      <c r="G117" s="10">
        <v>0.76980000000000004</v>
      </c>
      <c r="H117" s="10" t="s">
        <v>31</v>
      </c>
      <c r="I117" s="10" t="b">
        <v>0</v>
      </c>
    </row>
    <row r="118" spans="3:9" x14ac:dyDescent="0.3">
      <c r="C118" s="10">
        <v>169</v>
      </c>
      <c r="D118" s="10">
        <v>2303226</v>
      </c>
      <c r="E118" s="10" t="s">
        <v>20</v>
      </c>
      <c r="F118" s="10">
        <v>0.22789999999999999</v>
      </c>
      <c r="G118" s="10">
        <v>0.77210000000000001</v>
      </c>
      <c r="H118" s="10" t="s">
        <v>31</v>
      </c>
      <c r="I118" s="10" t="b">
        <v>0</v>
      </c>
    </row>
    <row r="119" spans="3:9" x14ac:dyDescent="0.3">
      <c r="C119" s="10">
        <v>36</v>
      </c>
      <c r="D119" s="10">
        <v>2303045</v>
      </c>
      <c r="E119" s="10" t="s">
        <v>20</v>
      </c>
      <c r="F119" s="10">
        <v>0.22770000000000001</v>
      </c>
      <c r="G119" s="10">
        <v>0.77229999999999999</v>
      </c>
      <c r="H119" s="10" t="s">
        <v>41</v>
      </c>
      <c r="I119" s="10" t="b">
        <v>0</v>
      </c>
    </row>
    <row r="120" spans="3:9" x14ac:dyDescent="0.3">
      <c r="C120" s="10">
        <v>144</v>
      </c>
      <c r="D120" s="10">
        <v>2303192</v>
      </c>
      <c r="E120" s="10" t="s">
        <v>20</v>
      </c>
      <c r="F120" s="10">
        <v>0.2273</v>
      </c>
      <c r="G120" s="10">
        <v>0.77270000000000005</v>
      </c>
      <c r="H120" s="10" t="s">
        <v>28</v>
      </c>
      <c r="I120" s="10" t="b">
        <v>0</v>
      </c>
    </row>
    <row r="121" spans="3:9" x14ac:dyDescent="0.3">
      <c r="C121" s="10">
        <v>7</v>
      </c>
      <c r="D121" s="10">
        <v>2401012</v>
      </c>
      <c r="E121" s="10" t="s">
        <v>20</v>
      </c>
      <c r="F121" s="10">
        <v>0.2263</v>
      </c>
      <c r="G121" s="10">
        <v>0.77370000000000005</v>
      </c>
      <c r="H121" s="10" t="s">
        <v>51</v>
      </c>
      <c r="I121" s="10" t="b">
        <v>0</v>
      </c>
    </row>
    <row r="122" spans="3:9" x14ac:dyDescent="0.3">
      <c r="C122" s="10">
        <v>5</v>
      </c>
      <c r="D122" s="10">
        <v>2401010</v>
      </c>
      <c r="E122" s="10" t="s">
        <v>20</v>
      </c>
      <c r="F122" s="10">
        <v>0.22309999999999999</v>
      </c>
      <c r="G122" s="10">
        <v>0.77690000000000003</v>
      </c>
      <c r="H122" s="10" t="s">
        <v>48</v>
      </c>
      <c r="I122" s="10" t="b">
        <v>0</v>
      </c>
    </row>
    <row r="123" spans="3:9" x14ac:dyDescent="0.3">
      <c r="C123" s="10">
        <v>234</v>
      </c>
      <c r="D123" s="10">
        <v>2303305</v>
      </c>
      <c r="E123" s="10" t="s">
        <v>20</v>
      </c>
      <c r="F123" s="10">
        <v>0.2218</v>
      </c>
      <c r="G123" s="10">
        <v>0.7782</v>
      </c>
      <c r="H123" s="10" t="s">
        <v>31</v>
      </c>
      <c r="I123" s="10" t="b">
        <v>0</v>
      </c>
    </row>
    <row r="124" spans="3:9" x14ac:dyDescent="0.3">
      <c r="C124" s="10">
        <v>224</v>
      </c>
      <c r="D124" s="10">
        <v>2303295</v>
      </c>
      <c r="E124" s="10" t="s">
        <v>20</v>
      </c>
      <c r="F124" s="10">
        <v>0.2208</v>
      </c>
      <c r="G124" s="10">
        <v>0.7792</v>
      </c>
      <c r="H124" s="10" t="s">
        <v>28</v>
      </c>
      <c r="I124" s="10" t="b">
        <v>0</v>
      </c>
    </row>
    <row r="125" spans="3:9" x14ac:dyDescent="0.3">
      <c r="C125" s="10">
        <v>292</v>
      </c>
      <c r="D125" s="10">
        <v>2303371</v>
      </c>
      <c r="E125" s="10" t="s">
        <v>20</v>
      </c>
      <c r="F125" s="10">
        <v>0.22070000000000001</v>
      </c>
      <c r="G125" s="10">
        <v>0.77929999999999999</v>
      </c>
      <c r="H125" s="10" t="s">
        <v>31</v>
      </c>
      <c r="I125" s="10" t="b">
        <v>0</v>
      </c>
    </row>
    <row r="126" spans="3:9" x14ac:dyDescent="0.3">
      <c r="C126" s="10">
        <v>237</v>
      </c>
      <c r="D126" s="10">
        <v>2303308</v>
      </c>
      <c r="E126" s="10" t="s">
        <v>20</v>
      </c>
      <c r="F126" s="10">
        <v>0.2195</v>
      </c>
      <c r="G126" s="10">
        <v>0.78049999999999997</v>
      </c>
      <c r="H126" s="10" t="s">
        <v>52</v>
      </c>
      <c r="I126" s="10" t="b">
        <v>0</v>
      </c>
    </row>
    <row r="127" spans="3:9" x14ac:dyDescent="0.3">
      <c r="C127" s="10">
        <v>259</v>
      </c>
      <c r="D127" s="10">
        <v>2303336</v>
      </c>
      <c r="E127" s="10" t="s">
        <v>20</v>
      </c>
      <c r="F127" s="10">
        <v>0.2142</v>
      </c>
      <c r="G127" s="10">
        <v>0.78580000000000005</v>
      </c>
      <c r="H127" s="10" t="s">
        <v>28</v>
      </c>
      <c r="I127" s="10" t="b">
        <v>0</v>
      </c>
    </row>
    <row r="128" spans="3:9" x14ac:dyDescent="0.3">
      <c r="C128" s="10">
        <v>1</v>
      </c>
      <c r="D128" s="10">
        <v>2303001</v>
      </c>
      <c r="E128" s="10" t="s">
        <v>20</v>
      </c>
      <c r="F128" s="10">
        <v>0.2104</v>
      </c>
      <c r="G128" s="10">
        <v>0.78959999999999997</v>
      </c>
      <c r="H128" s="10" t="s">
        <v>28</v>
      </c>
      <c r="I128" s="10" t="b">
        <v>0</v>
      </c>
    </row>
    <row r="129" spans="3:9" x14ac:dyDescent="0.3">
      <c r="C129" s="10">
        <v>167</v>
      </c>
      <c r="D129" s="10">
        <v>2303224</v>
      </c>
      <c r="E129" s="10" t="s">
        <v>20</v>
      </c>
      <c r="F129" s="10">
        <v>0.2104</v>
      </c>
      <c r="G129" s="10">
        <v>0.78959999999999997</v>
      </c>
      <c r="H129" s="10" t="s">
        <v>52</v>
      </c>
      <c r="I129" s="10" t="b">
        <v>0</v>
      </c>
    </row>
    <row r="130" spans="3:9" x14ac:dyDescent="0.3">
      <c r="C130" s="10">
        <v>121</v>
      </c>
      <c r="D130" s="10">
        <v>2303160</v>
      </c>
      <c r="E130" s="10" t="s">
        <v>20</v>
      </c>
      <c r="F130" s="10">
        <v>0.2102</v>
      </c>
      <c r="G130" s="10">
        <v>0.78979999999999995</v>
      </c>
      <c r="H130" s="10" t="s">
        <v>53</v>
      </c>
      <c r="I130" s="10" t="b">
        <v>0</v>
      </c>
    </row>
    <row r="131" spans="3:9" x14ac:dyDescent="0.3">
      <c r="C131" s="10">
        <v>240</v>
      </c>
      <c r="D131" s="10">
        <v>2303315</v>
      </c>
      <c r="E131" s="10" t="s">
        <v>20</v>
      </c>
      <c r="F131" s="10">
        <v>0.20749999999999999</v>
      </c>
      <c r="G131" s="10">
        <v>0.79249999999999998</v>
      </c>
      <c r="H131" s="10" t="s">
        <v>47</v>
      </c>
      <c r="I131" s="10" t="b">
        <v>0</v>
      </c>
    </row>
    <row r="132" spans="3:9" x14ac:dyDescent="0.3">
      <c r="C132" s="10">
        <v>264</v>
      </c>
      <c r="D132" s="10">
        <v>2303341</v>
      </c>
      <c r="E132" s="10" t="s">
        <v>20</v>
      </c>
      <c r="F132" s="10">
        <v>0.20749999999999999</v>
      </c>
      <c r="G132" s="10">
        <v>0.79249999999999998</v>
      </c>
      <c r="H132" s="10" t="s">
        <v>28</v>
      </c>
      <c r="I132" s="10" t="b">
        <v>0</v>
      </c>
    </row>
    <row r="133" spans="3:9" x14ac:dyDescent="0.3">
      <c r="C133" s="10">
        <v>40</v>
      </c>
      <c r="D133" s="10">
        <v>2303049</v>
      </c>
      <c r="E133" s="10" t="s">
        <v>20</v>
      </c>
      <c r="F133" s="10">
        <v>0.2054</v>
      </c>
      <c r="G133" s="10">
        <v>0.79459999999999997</v>
      </c>
      <c r="H133" s="10" t="s">
        <v>28</v>
      </c>
      <c r="I133" s="10" t="b">
        <v>0</v>
      </c>
    </row>
    <row r="134" spans="3:9" x14ac:dyDescent="0.3">
      <c r="C134" s="10">
        <v>64</v>
      </c>
      <c r="D134" s="10">
        <v>2303081</v>
      </c>
      <c r="E134" s="10" t="s">
        <v>20</v>
      </c>
      <c r="F134" s="10">
        <v>0.2026</v>
      </c>
      <c r="G134" s="10">
        <v>0.7974</v>
      </c>
      <c r="H134" s="10" t="s">
        <v>46</v>
      </c>
      <c r="I134" s="10" t="b">
        <v>0</v>
      </c>
    </row>
    <row r="135" spans="3:9" x14ac:dyDescent="0.3">
      <c r="C135" s="10">
        <v>20</v>
      </c>
      <c r="D135" s="10">
        <v>2401028</v>
      </c>
      <c r="E135" s="10" t="s">
        <v>20</v>
      </c>
      <c r="F135" s="10">
        <v>0.20250000000000001</v>
      </c>
      <c r="G135" s="10">
        <v>0.79749999999999999</v>
      </c>
      <c r="H135" s="10" t="s">
        <v>31</v>
      </c>
      <c r="I135" s="10" t="b">
        <v>0</v>
      </c>
    </row>
    <row r="136" spans="3:9" x14ac:dyDescent="0.3">
      <c r="C136" s="10">
        <v>104</v>
      </c>
      <c r="D136" s="10">
        <v>2401133</v>
      </c>
      <c r="E136" s="10" t="s">
        <v>20</v>
      </c>
      <c r="F136" s="10">
        <v>0.20219999999999999</v>
      </c>
      <c r="G136" s="10">
        <v>0.79779999999999995</v>
      </c>
      <c r="H136" s="10" t="s">
        <v>31</v>
      </c>
      <c r="I136" s="10" t="b">
        <v>0</v>
      </c>
    </row>
    <row r="137" spans="3:9" x14ac:dyDescent="0.3">
      <c r="C137" s="10">
        <v>78</v>
      </c>
      <c r="D137" s="10">
        <v>2401098</v>
      </c>
      <c r="E137" s="10" t="s">
        <v>20</v>
      </c>
      <c r="F137" s="10">
        <v>0.20130000000000001</v>
      </c>
      <c r="G137" s="10">
        <v>0.79869999999999997</v>
      </c>
      <c r="H137" s="10" t="s">
        <v>31</v>
      </c>
      <c r="I137" s="10" t="b">
        <v>0</v>
      </c>
    </row>
    <row r="138" spans="3:9" x14ac:dyDescent="0.3">
      <c r="C138" s="10">
        <v>67</v>
      </c>
      <c r="D138" s="10">
        <v>2401084</v>
      </c>
      <c r="E138" s="10" t="s">
        <v>20</v>
      </c>
      <c r="F138" s="10">
        <v>0.1991</v>
      </c>
      <c r="G138" s="10">
        <v>0.80089999999999995</v>
      </c>
      <c r="H138" s="10" t="s">
        <v>31</v>
      </c>
      <c r="I138" s="10" t="b">
        <v>0</v>
      </c>
    </row>
    <row r="139" spans="3:9" x14ac:dyDescent="0.3">
      <c r="C139" s="10">
        <v>206</v>
      </c>
      <c r="D139" s="10">
        <v>2303269</v>
      </c>
      <c r="E139" s="10" t="s">
        <v>20</v>
      </c>
      <c r="F139" s="10">
        <v>0.19539999999999999</v>
      </c>
      <c r="G139" s="10">
        <v>0.80459999999999998</v>
      </c>
      <c r="H139" s="10" t="s">
        <v>31</v>
      </c>
      <c r="I139" s="10" t="b">
        <v>0</v>
      </c>
    </row>
    <row r="140" spans="3:9" x14ac:dyDescent="0.3">
      <c r="C140" s="10">
        <v>13</v>
      </c>
      <c r="D140" s="10">
        <v>2401019</v>
      </c>
      <c r="E140" s="10" t="s">
        <v>20</v>
      </c>
      <c r="F140" s="10">
        <v>0.19209999999999999</v>
      </c>
      <c r="G140" s="10">
        <v>0.80789999999999995</v>
      </c>
      <c r="H140" s="10" t="s">
        <v>48</v>
      </c>
      <c r="I140" s="10" t="b">
        <v>0</v>
      </c>
    </row>
    <row r="141" spans="3:9" x14ac:dyDescent="0.3">
      <c r="C141" s="10">
        <v>22</v>
      </c>
      <c r="D141" s="10">
        <v>2401031</v>
      </c>
      <c r="E141" s="10" t="s">
        <v>20</v>
      </c>
      <c r="F141" s="10">
        <v>0.1915</v>
      </c>
      <c r="G141" s="10">
        <v>0.8085</v>
      </c>
      <c r="H141" s="10" t="s">
        <v>31</v>
      </c>
      <c r="I141" s="10" t="b">
        <v>0</v>
      </c>
    </row>
    <row r="142" spans="3:9" x14ac:dyDescent="0.3">
      <c r="C142" s="10">
        <v>25</v>
      </c>
      <c r="D142" s="10">
        <v>2303031</v>
      </c>
      <c r="E142" s="10" t="s">
        <v>20</v>
      </c>
      <c r="F142" s="10">
        <v>0.19109999999999999</v>
      </c>
      <c r="G142" s="10">
        <v>0.80889999999999995</v>
      </c>
      <c r="H142" s="10" t="s">
        <v>28</v>
      </c>
      <c r="I142" s="10" t="b">
        <v>0</v>
      </c>
    </row>
    <row r="143" spans="3:9" x14ac:dyDescent="0.3">
      <c r="C143" s="10">
        <v>48</v>
      </c>
      <c r="D143" s="10">
        <v>2303057</v>
      </c>
      <c r="E143" s="10" t="s">
        <v>20</v>
      </c>
      <c r="F143" s="10">
        <v>0.19059999999999999</v>
      </c>
      <c r="G143" s="10">
        <v>0.80940000000000001</v>
      </c>
      <c r="H143" s="10" t="s">
        <v>47</v>
      </c>
      <c r="I143" s="10" t="b">
        <v>0</v>
      </c>
    </row>
    <row r="144" spans="3:9" x14ac:dyDescent="0.3">
      <c r="C144" s="10">
        <v>34</v>
      </c>
      <c r="D144" s="10">
        <v>2401047</v>
      </c>
      <c r="E144" s="10" t="s">
        <v>20</v>
      </c>
      <c r="F144" s="10">
        <v>0.189</v>
      </c>
      <c r="G144" s="10">
        <v>0.81100000000000005</v>
      </c>
      <c r="H144" s="10" t="s">
        <v>33</v>
      </c>
      <c r="I144" s="10" t="b">
        <v>0</v>
      </c>
    </row>
    <row r="145" spans="3:9" x14ac:dyDescent="0.3">
      <c r="C145" s="10">
        <v>132</v>
      </c>
      <c r="D145" s="10">
        <v>2303173</v>
      </c>
      <c r="E145" s="10" t="s">
        <v>20</v>
      </c>
      <c r="F145" s="10">
        <v>0.1883</v>
      </c>
      <c r="G145" s="10">
        <v>0.81169999999999998</v>
      </c>
      <c r="H145" s="10" t="s">
        <v>47</v>
      </c>
      <c r="I145" s="10" t="b">
        <v>0</v>
      </c>
    </row>
    <row r="146" spans="3:9" x14ac:dyDescent="0.3">
      <c r="C146" s="10">
        <v>267</v>
      </c>
      <c r="D146" s="10">
        <v>2303345</v>
      </c>
      <c r="E146" s="10" t="s">
        <v>20</v>
      </c>
      <c r="F146" s="10">
        <v>0.18770000000000001</v>
      </c>
      <c r="G146" s="10">
        <v>0.81230000000000002</v>
      </c>
      <c r="H146" s="10" t="s">
        <v>31</v>
      </c>
      <c r="I146" s="10" t="b">
        <v>0</v>
      </c>
    </row>
    <row r="147" spans="3:9" x14ac:dyDescent="0.3">
      <c r="C147" s="10">
        <v>42</v>
      </c>
      <c r="D147" s="10">
        <v>2303051</v>
      </c>
      <c r="E147" s="10" t="s">
        <v>20</v>
      </c>
      <c r="F147" s="10">
        <v>0.18729999999999999</v>
      </c>
      <c r="G147" s="10">
        <v>0.81269999999999998</v>
      </c>
      <c r="H147" s="10" t="s">
        <v>31</v>
      </c>
      <c r="I147" s="10" t="b">
        <v>0</v>
      </c>
    </row>
    <row r="148" spans="3:9" x14ac:dyDescent="0.3">
      <c r="C148" s="10">
        <v>52</v>
      </c>
      <c r="D148" s="10">
        <v>2303061</v>
      </c>
      <c r="E148" s="10" t="s">
        <v>20</v>
      </c>
      <c r="F148" s="10">
        <v>0.1855</v>
      </c>
      <c r="G148" s="10">
        <v>0.8145</v>
      </c>
      <c r="H148" s="10" t="s">
        <v>26</v>
      </c>
      <c r="I148" s="10" t="b">
        <v>0</v>
      </c>
    </row>
    <row r="149" spans="3:9" x14ac:dyDescent="0.3">
      <c r="C149" s="10">
        <v>95</v>
      </c>
      <c r="D149" s="10">
        <v>2401122</v>
      </c>
      <c r="E149" s="10" t="s">
        <v>20</v>
      </c>
      <c r="F149" s="10">
        <v>0.18490000000000001</v>
      </c>
      <c r="G149" s="10">
        <v>0.81510000000000005</v>
      </c>
      <c r="H149" s="10" t="s">
        <v>52</v>
      </c>
      <c r="I149" s="10" t="b">
        <v>0</v>
      </c>
    </row>
    <row r="150" spans="3:9" x14ac:dyDescent="0.3">
      <c r="C150" s="10">
        <v>6</v>
      </c>
      <c r="D150" s="10">
        <v>2401011</v>
      </c>
      <c r="E150" s="10" t="s">
        <v>20</v>
      </c>
      <c r="F150" s="10">
        <v>0.18479999999999999</v>
      </c>
      <c r="G150" s="10">
        <v>0.81520000000000004</v>
      </c>
      <c r="H150" s="10" t="s">
        <v>51</v>
      </c>
      <c r="I150" s="10" t="b">
        <v>0</v>
      </c>
    </row>
    <row r="151" spans="3:9" x14ac:dyDescent="0.3">
      <c r="C151" s="10">
        <v>40</v>
      </c>
      <c r="D151" s="10">
        <v>2401053</v>
      </c>
      <c r="E151" s="10" t="s">
        <v>20</v>
      </c>
      <c r="F151" s="10">
        <v>0.18310000000000001</v>
      </c>
      <c r="G151" s="10">
        <v>0.81689999999999996</v>
      </c>
      <c r="H151" s="10" t="s">
        <v>38</v>
      </c>
      <c r="I151" s="10" t="b">
        <v>0</v>
      </c>
    </row>
    <row r="152" spans="3:9" x14ac:dyDescent="0.3">
      <c r="C152" s="10">
        <v>124</v>
      </c>
      <c r="D152" s="10">
        <v>2303163</v>
      </c>
      <c r="E152" s="10" t="s">
        <v>20</v>
      </c>
      <c r="F152" s="10">
        <v>0.18079999999999999</v>
      </c>
      <c r="G152" s="10">
        <v>0.81920000000000004</v>
      </c>
      <c r="H152" s="10" t="s">
        <v>54</v>
      </c>
      <c r="I152" s="10" t="b">
        <v>0</v>
      </c>
    </row>
    <row r="153" spans="3:9" x14ac:dyDescent="0.3">
      <c r="C153" s="10">
        <v>6</v>
      </c>
      <c r="D153" s="10">
        <v>2303008</v>
      </c>
      <c r="E153" s="10" t="s">
        <v>20</v>
      </c>
      <c r="F153" s="10">
        <v>0.1802</v>
      </c>
      <c r="G153" s="10">
        <v>0.81979999999999997</v>
      </c>
      <c r="H153" s="10" t="s">
        <v>47</v>
      </c>
      <c r="I153" s="10" t="b">
        <v>0</v>
      </c>
    </row>
    <row r="154" spans="3:9" x14ac:dyDescent="0.3">
      <c r="C154" s="10">
        <v>265</v>
      </c>
      <c r="D154" s="10">
        <v>2303342</v>
      </c>
      <c r="E154" s="10" t="s">
        <v>20</v>
      </c>
      <c r="F154" s="10">
        <v>0.17929999999999999</v>
      </c>
      <c r="G154" s="10">
        <v>0.82069999999999999</v>
      </c>
      <c r="H154" s="10" t="s">
        <v>26</v>
      </c>
      <c r="I154" s="10" t="b">
        <v>0</v>
      </c>
    </row>
    <row r="155" spans="3:9" x14ac:dyDescent="0.3">
      <c r="C155" s="10">
        <v>274</v>
      </c>
      <c r="D155" s="10">
        <v>2303352</v>
      </c>
      <c r="E155" s="10" t="s">
        <v>20</v>
      </c>
      <c r="F155" s="10">
        <v>0.1774</v>
      </c>
      <c r="G155" s="10">
        <v>0.8226</v>
      </c>
      <c r="H155" s="10" t="s">
        <v>52</v>
      </c>
      <c r="I155" s="10" t="b">
        <v>0</v>
      </c>
    </row>
    <row r="156" spans="3:9" x14ac:dyDescent="0.3">
      <c r="C156" s="10">
        <v>94</v>
      </c>
      <c r="D156" s="10">
        <v>2303122</v>
      </c>
      <c r="E156" s="10" t="s">
        <v>20</v>
      </c>
      <c r="F156" s="10">
        <v>0.17610000000000001</v>
      </c>
      <c r="G156" s="10">
        <v>0.82389999999999997</v>
      </c>
      <c r="H156" s="10" t="s">
        <v>46</v>
      </c>
      <c r="I156" s="10" t="b">
        <v>0</v>
      </c>
    </row>
    <row r="157" spans="3:9" x14ac:dyDescent="0.3">
      <c r="C157" s="10">
        <v>202</v>
      </c>
      <c r="D157" s="10">
        <v>2303264</v>
      </c>
      <c r="E157" s="10" t="s">
        <v>20</v>
      </c>
      <c r="F157" s="10">
        <v>0.17599999999999999</v>
      </c>
      <c r="G157" s="10">
        <v>0.82399999999999995</v>
      </c>
      <c r="H157" s="10" t="s">
        <v>38</v>
      </c>
      <c r="I157" s="10" t="b">
        <v>0</v>
      </c>
    </row>
    <row r="158" spans="3:9" x14ac:dyDescent="0.3">
      <c r="C158" s="10">
        <v>27</v>
      </c>
      <c r="D158" s="10">
        <v>2303036</v>
      </c>
      <c r="E158" s="10" t="s">
        <v>20</v>
      </c>
      <c r="F158" s="10">
        <v>0.17530000000000001</v>
      </c>
      <c r="G158" s="10">
        <v>0.82469999999999999</v>
      </c>
      <c r="H158" s="10" t="s">
        <v>31</v>
      </c>
      <c r="I158" s="10" t="b">
        <v>0</v>
      </c>
    </row>
    <row r="159" spans="3:9" x14ac:dyDescent="0.3">
      <c r="C159" s="10">
        <v>10</v>
      </c>
      <c r="D159" s="10">
        <v>2303012</v>
      </c>
      <c r="E159" s="10" t="s">
        <v>20</v>
      </c>
      <c r="F159" s="10">
        <v>0.17499999999999999</v>
      </c>
      <c r="G159" s="10">
        <v>0.82499999999999996</v>
      </c>
      <c r="H159" s="10" t="s">
        <v>47</v>
      </c>
      <c r="I159" s="10" t="b">
        <v>0</v>
      </c>
    </row>
    <row r="160" spans="3:9" x14ac:dyDescent="0.3">
      <c r="C160" s="10">
        <v>170</v>
      </c>
      <c r="D160" s="10">
        <v>2303227</v>
      </c>
      <c r="E160" s="10" t="s">
        <v>20</v>
      </c>
      <c r="F160" s="10">
        <v>0.1734</v>
      </c>
      <c r="G160" s="10">
        <v>0.8266</v>
      </c>
      <c r="H160" s="10" t="s">
        <v>31</v>
      </c>
      <c r="I160" s="10" t="b">
        <v>0</v>
      </c>
    </row>
    <row r="161" spans="3:9" x14ac:dyDescent="0.3">
      <c r="C161" s="10">
        <v>183</v>
      </c>
      <c r="D161" s="10">
        <v>2303241</v>
      </c>
      <c r="E161" s="10" t="s">
        <v>20</v>
      </c>
      <c r="F161" s="10">
        <v>0.17299999999999999</v>
      </c>
      <c r="G161" s="10">
        <v>0.82699999999999996</v>
      </c>
      <c r="H161" s="10" t="s">
        <v>31</v>
      </c>
      <c r="I161" s="10" t="b">
        <v>0</v>
      </c>
    </row>
    <row r="162" spans="3:9" x14ac:dyDescent="0.3">
      <c r="C162" s="10">
        <v>277</v>
      </c>
      <c r="D162" s="10">
        <v>2303355</v>
      </c>
      <c r="E162" s="10" t="s">
        <v>20</v>
      </c>
      <c r="F162" s="10">
        <v>0.1719</v>
      </c>
      <c r="G162" s="10">
        <v>0.82809999999999995</v>
      </c>
      <c r="H162" s="10" t="s">
        <v>31</v>
      </c>
      <c r="I162" s="10" t="b">
        <v>0</v>
      </c>
    </row>
    <row r="163" spans="3:9" x14ac:dyDescent="0.3">
      <c r="C163" s="10">
        <v>113</v>
      </c>
      <c r="D163" s="10">
        <v>2303149</v>
      </c>
      <c r="E163" s="10" t="s">
        <v>20</v>
      </c>
      <c r="F163" s="10">
        <v>0.1696</v>
      </c>
      <c r="G163" s="10">
        <v>0.83040000000000003</v>
      </c>
      <c r="H163" s="10" t="s">
        <v>31</v>
      </c>
      <c r="I163" s="10" t="b">
        <v>0</v>
      </c>
    </row>
    <row r="164" spans="3:9" x14ac:dyDescent="0.3">
      <c r="C164" s="10">
        <v>257</v>
      </c>
      <c r="D164" s="10">
        <v>2303334</v>
      </c>
      <c r="E164" s="10" t="s">
        <v>20</v>
      </c>
      <c r="F164" s="10">
        <v>0.16619999999999999</v>
      </c>
      <c r="G164" s="10">
        <v>0.83379999999999999</v>
      </c>
      <c r="H164" s="10" t="s">
        <v>52</v>
      </c>
      <c r="I164" s="10" t="b">
        <v>0</v>
      </c>
    </row>
    <row r="165" spans="3:9" x14ac:dyDescent="0.3">
      <c r="C165" s="10">
        <v>151</v>
      </c>
      <c r="D165" s="10">
        <v>2303204</v>
      </c>
      <c r="E165" s="10" t="s">
        <v>20</v>
      </c>
      <c r="F165" s="10">
        <v>0.1658</v>
      </c>
      <c r="G165" s="10">
        <v>0.83420000000000005</v>
      </c>
      <c r="H165" s="10" t="s">
        <v>46</v>
      </c>
      <c r="I165" s="10" t="b">
        <v>0</v>
      </c>
    </row>
    <row r="166" spans="3:9" x14ac:dyDescent="0.3">
      <c r="C166" s="10">
        <v>296</v>
      </c>
      <c r="D166" s="10">
        <v>2303375</v>
      </c>
      <c r="E166" s="10" t="s">
        <v>20</v>
      </c>
      <c r="F166" s="10">
        <v>0.16520000000000001</v>
      </c>
      <c r="G166" s="10">
        <v>0.83479999999999999</v>
      </c>
      <c r="H166" s="10" t="s">
        <v>38</v>
      </c>
      <c r="I166" s="10" t="b">
        <v>0</v>
      </c>
    </row>
    <row r="167" spans="3:9" x14ac:dyDescent="0.3">
      <c r="C167" s="10">
        <v>73</v>
      </c>
      <c r="D167" s="10">
        <v>2401092</v>
      </c>
      <c r="E167" s="10" t="s">
        <v>20</v>
      </c>
      <c r="F167" s="10">
        <v>0.16489999999999999</v>
      </c>
      <c r="G167" s="10">
        <v>0.83509999999999995</v>
      </c>
      <c r="H167" s="10" t="s">
        <v>31</v>
      </c>
      <c r="I167" s="10" t="b">
        <v>0</v>
      </c>
    </row>
    <row r="168" spans="3:9" x14ac:dyDescent="0.3">
      <c r="C168" s="10">
        <v>258</v>
      </c>
      <c r="D168" s="10">
        <v>2303335</v>
      </c>
      <c r="E168" s="10" t="s">
        <v>20</v>
      </c>
      <c r="F168" s="10">
        <v>0.16450000000000001</v>
      </c>
      <c r="G168" s="10">
        <v>0.83550000000000002</v>
      </c>
      <c r="H168" s="10" t="s">
        <v>28</v>
      </c>
      <c r="I168" s="10" t="b">
        <v>0</v>
      </c>
    </row>
    <row r="169" spans="3:9" x14ac:dyDescent="0.3">
      <c r="C169" s="10">
        <v>4</v>
      </c>
      <c r="D169" s="10">
        <v>2401009</v>
      </c>
      <c r="E169" s="10" t="s">
        <v>20</v>
      </c>
      <c r="F169" s="10">
        <v>0.16450000000000001</v>
      </c>
      <c r="G169" s="10">
        <v>0.83550000000000002</v>
      </c>
      <c r="H169" s="10" t="s">
        <v>26</v>
      </c>
      <c r="I169" s="10" t="b">
        <v>0</v>
      </c>
    </row>
    <row r="170" spans="3:9" x14ac:dyDescent="0.3">
      <c r="C170" s="10">
        <v>22</v>
      </c>
      <c r="D170" s="10">
        <v>2303028</v>
      </c>
      <c r="E170" s="10" t="s">
        <v>20</v>
      </c>
      <c r="F170" s="10">
        <v>0.1641</v>
      </c>
      <c r="G170" s="10">
        <v>0.83589999999999998</v>
      </c>
      <c r="H170" s="10" t="s">
        <v>33</v>
      </c>
      <c r="I170" s="10" t="b">
        <v>0</v>
      </c>
    </row>
    <row r="171" spans="3:9" x14ac:dyDescent="0.3">
      <c r="C171" s="10">
        <v>24</v>
      </c>
      <c r="D171" s="10">
        <v>2303030</v>
      </c>
      <c r="E171" s="10" t="s">
        <v>20</v>
      </c>
      <c r="F171" s="10">
        <v>0.1583</v>
      </c>
      <c r="G171" s="10">
        <v>0.8417</v>
      </c>
      <c r="H171" s="10" t="s">
        <v>28</v>
      </c>
      <c r="I171" s="10" t="b">
        <v>0</v>
      </c>
    </row>
    <row r="172" spans="3:9" x14ac:dyDescent="0.3">
      <c r="C172" s="10">
        <v>80</v>
      </c>
      <c r="D172" s="10">
        <v>2401102</v>
      </c>
      <c r="E172" s="10" t="s">
        <v>20</v>
      </c>
      <c r="F172" s="10">
        <v>0.1565</v>
      </c>
      <c r="G172" s="10">
        <v>0.84350000000000003</v>
      </c>
      <c r="H172" s="10" t="s">
        <v>38</v>
      </c>
      <c r="I172" s="10" t="b">
        <v>0</v>
      </c>
    </row>
    <row r="173" spans="3:9" x14ac:dyDescent="0.3">
      <c r="C173" s="10">
        <v>294</v>
      </c>
      <c r="D173" s="10">
        <v>2303373</v>
      </c>
      <c r="E173" s="10" t="s">
        <v>20</v>
      </c>
      <c r="F173" s="10">
        <v>0.15210000000000001</v>
      </c>
      <c r="G173" s="10">
        <v>0.84789999999999999</v>
      </c>
      <c r="H173" s="10" t="s">
        <v>38</v>
      </c>
      <c r="I173" s="10" t="b">
        <v>0</v>
      </c>
    </row>
    <row r="174" spans="3:9" x14ac:dyDescent="0.3">
      <c r="C174" s="10">
        <v>39</v>
      </c>
      <c r="D174" s="10">
        <v>2401052</v>
      </c>
      <c r="E174" s="10" t="s">
        <v>20</v>
      </c>
      <c r="F174" s="10">
        <v>0.15090000000000001</v>
      </c>
      <c r="G174" s="10">
        <v>0.84909999999999997</v>
      </c>
      <c r="H174" s="10" t="s">
        <v>33</v>
      </c>
      <c r="I174" s="10" t="b">
        <v>0</v>
      </c>
    </row>
    <row r="175" spans="3:9" x14ac:dyDescent="0.3">
      <c r="C175" s="10">
        <v>16</v>
      </c>
      <c r="D175" s="10">
        <v>2401022</v>
      </c>
      <c r="E175" s="10" t="s">
        <v>20</v>
      </c>
      <c r="F175" s="10">
        <v>0.15010000000000001</v>
      </c>
      <c r="G175" s="10">
        <v>0.84989999999999999</v>
      </c>
      <c r="H175" s="10" t="s">
        <v>48</v>
      </c>
      <c r="I175" s="10" t="b">
        <v>0</v>
      </c>
    </row>
    <row r="176" spans="3:9" x14ac:dyDescent="0.3">
      <c r="C176" s="10">
        <v>290</v>
      </c>
      <c r="D176" s="10">
        <v>2303369</v>
      </c>
      <c r="E176" s="10" t="s">
        <v>20</v>
      </c>
      <c r="F176" s="10">
        <v>0.14899999999999999</v>
      </c>
      <c r="G176" s="10">
        <v>0.85099999999999998</v>
      </c>
      <c r="H176" s="10" t="s">
        <v>52</v>
      </c>
      <c r="I176" s="10" t="b">
        <v>0</v>
      </c>
    </row>
    <row r="177" spans="3:9" x14ac:dyDescent="0.3">
      <c r="C177" s="10">
        <v>106</v>
      </c>
      <c r="D177" s="10">
        <v>2401135</v>
      </c>
      <c r="E177" s="10" t="s">
        <v>20</v>
      </c>
      <c r="F177" s="10">
        <v>0.1489</v>
      </c>
      <c r="G177" s="10">
        <v>0.85109999999999997</v>
      </c>
      <c r="H177" s="10" t="s">
        <v>31</v>
      </c>
      <c r="I177" s="10" t="b">
        <v>0</v>
      </c>
    </row>
    <row r="178" spans="3:9" x14ac:dyDescent="0.3">
      <c r="C178" s="10">
        <v>84</v>
      </c>
      <c r="D178" s="10">
        <v>2401108</v>
      </c>
      <c r="E178" s="10" t="s">
        <v>20</v>
      </c>
      <c r="F178" s="10">
        <v>0.1487</v>
      </c>
      <c r="G178" s="10">
        <v>0.85129999999999995</v>
      </c>
      <c r="H178" s="10" t="s">
        <v>31</v>
      </c>
      <c r="I178" s="10" t="b">
        <v>0</v>
      </c>
    </row>
    <row r="179" spans="3:9" x14ac:dyDescent="0.3">
      <c r="C179" s="10">
        <v>85</v>
      </c>
      <c r="D179" s="10">
        <v>2401109</v>
      </c>
      <c r="E179" s="10" t="s">
        <v>20</v>
      </c>
      <c r="F179" s="10">
        <v>0.14149999999999999</v>
      </c>
      <c r="G179" s="10">
        <v>0.85850000000000004</v>
      </c>
      <c r="H179" s="10" t="s">
        <v>38</v>
      </c>
      <c r="I179" s="10" t="b">
        <v>0</v>
      </c>
    </row>
    <row r="180" spans="3:9" x14ac:dyDescent="0.3">
      <c r="C180" s="10">
        <v>105</v>
      </c>
      <c r="D180" s="10">
        <v>2401134</v>
      </c>
      <c r="E180" s="10" t="s">
        <v>20</v>
      </c>
      <c r="F180" s="10">
        <v>0.13980000000000001</v>
      </c>
      <c r="G180" s="10">
        <v>0.86019999999999996</v>
      </c>
      <c r="H180" s="10" t="s">
        <v>31</v>
      </c>
      <c r="I180" s="10" t="b">
        <v>0</v>
      </c>
    </row>
    <row r="181" spans="3:9" x14ac:dyDescent="0.3">
      <c r="C181" s="10">
        <v>81</v>
      </c>
      <c r="D181" s="10">
        <v>2303107</v>
      </c>
      <c r="E181" s="10" t="s">
        <v>20</v>
      </c>
      <c r="F181" s="10">
        <v>0.13900000000000001</v>
      </c>
      <c r="G181" s="10">
        <v>0.86099999999999999</v>
      </c>
      <c r="H181" s="10" t="s">
        <v>46</v>
      </c>
      <c r="I181" s="10" t="b">
        <v>0</v>
      </c>
    </row>
    <row r="182" spans="3:9" x14ac:dyDescent="0.3">
      <c r="C182" s="10">
        <v>51</v>
      </c>
      <c r="D182" s="10">
        <v>2401066</v>
      </c>
      <c r="E182" s="10" t="s">
        <v>20</v>
      </c>
      <c r="F182" s="10">
        <v>0.13769999999999999</v>
      </c>
      <c r="G182" s="10">
        <v>0.86229999999999996</v>
      </c>
      <c r="H182" s="10" t="s">
        <v>46</v>
      </c>
      <c r="I182" s="10" t="b">
        <v>0</v>
      </c>
    </row>
    <row r="183" spans="3:9" x14ac:dyDescent="0.3">
      <c r="C183" s="10">
        <v>3</v>
      </c>
      <c r="D183" s="10">
        <v>2303004</v>
      </c>
      <c r="E183" s="10" t="s">
        <v>20</v>
      </c>
      <c r="F183" s="10">
        <v>0.1376</v>
      </c>
      <c r="G183" s="10">
        <v>0.86240000000000006</v>
      </c>
      <c r="H183" s="10" t="s">
        <v>55</v>
      </c>
      <c r="I183" s="10" t="b">
        <v>0</v>
      </c>
    </row>
    <row r="184" spans="3:9" x14ac:dyDescent="0.3">
      <c r="C184" s="10">
        <v>35</v>
      </c>
      <c r="D184" s="10">
        <v>2303044</v>
      </c>
      <c r="E184" s="10" t="s">
        <v>20</v>
      </c>
      <c r="F184" s="10">
        <v>0.13750000000000001</v>
      </c>
      <c r="G184" s="10">
        <v>0.86250000000000004</v>
      </c>
      <c r="H184" s="10" t="s">
        <v>41</v>
      </c>
      <c r="I184" s="10" t="b">
        <v>0</v>
      </c>
    </row>
    <row r="185" spans="3:9" x14ac:dyDescent="0.3">
      <c r="C185" s="10">
        <v>23</v>
      </c>
      <c r="D185" s="10">
        <v>2401032</v>
      </c>
      <c r="E185" s="10" t="s">
        <v>20</v>
      </c>
      <c r="F185" s="10">
        <v>0.13730000000000001</v>
      </c>
      <c r="G185" s="10">
        <v>0.86270000000000002</v>
      </c>
      <c r="H185" s="10" t="s">
        <v>33</v>
      </c>
      <c r="I185" s="10" t="b">
        <v>0</v>
      </c>
    </row>
    <row r="186" spans="3:9" x14ac:dyDescent="0.3">
      <c r="C186" s="10">
        <v>276</v>
      </c>
      <c r="D186" s="10">
        <v>2303354</v>
      </c>
      <c r="E186" s="10" t="s">
        <v>20</v>
      </c>
      <c r="F186" s="10">
        <v>0.1371</v>
      </c>
      <c r="G186" s="10">
        <v>0.8629</v>
      </c>
      <c r="H186" s="10" t="s">
        <v>31</v>
      </c>
      <c r="I186" s="10" t="b">
        <v>0</v>
      </c>
    </row>
    <row r="187" spans="3:9" x14ac:dyDescent="0.3">
      <c r="C187" s="10">
        <v>281</v>
      </c>
      <c r="D187" s="10">
        <v>2303359</v>
      </c>
      <c r="E187" s="10" t="s">
        <v>20</v>
      </c>
      <c r="F187" s="10">
        <v>0.13669999999999999</v>
      </c>
      <c r="G187" s="10">
        <v>0.86329999999999996</v>
      </c>
      <c r="H187" s="10" t="s">
        <v>31</v>
      </c>
      <c r="I187" s="10" t="b">
        <v>0</v>
      </c>
    </row>
    <row r="188" spans="3:9" x14ac:dyDescent="0.3">
      <c r="C188" s="10">
        <v>39</v>
      </c>
      <c r="D188" s="10">
        <v>2303048</v>
      </c>
      <c r="E188" s="10" t="s">
        <v>20</v>
      </c>
      <c r="F188" s="10">
        <v>0.13639999999999999</v>
      </c>
      <c r="G188" s="10">
        <v>0.86360000000000003</v>
      </c>
      <c r="H188" s="10" t="s">
        <v>26</v>
      </c>
      <c r="I188" s="10" t="b">
        <v>0</v>
      </c>
    </row>
    <row r="189" spans="3:9" x14ac:dyDescent="0.3">
      <c r="C189" s="10">
        <v>147</v>
      </c>
      <c r="D189" s="10">
        <v>2303199</v>
      </c>
      <c r="E189" s="10" t="s">
        <v>20</v>
      </c>
      <c r="F189" s="10">
        <v>0.13569999999999999</v>
      </c>
      <c r="G189" s="10">
        <v>0.86429999999999996</v>
      </c>
      <c r="H189" s="10" t="s">
        <v>28</v>
      </c>
      <c r="I189" s="10" t="b">
        <v>0</v>
      </c>
    </row>
    <row r="190" spans="3:9" x14ac:dyDescent="0.3">
      <c r="C190" s="10">
        <v>241</v>
      </c>
      <c r="D190" s="10">
        <v>2303316</v>
      </c>
      <c r="E190" s="10" t="s">
        <v>20</v>
      </c>
      <c r="F190" s="10">
        <v>0.13539999999999999</v>
      </c>
      <c r="G190" s="10">
        <v>0.86460000000000004</v>
      </c>
      <c r="H190" s="10" t="s">
        <v>31</v>
      </c>
      <c r="I190" s="10" t="b">
        <v>0</v>
      </c>
    </row>
    <row r="191" spans="3:9" x14ac:dyDescent="0.3">
      <c r="C191" s="10">
        <v>68</v>
      </c>
      <c r="D191" s="10">
        <v>2401085</v>
      </c>
      <c r="E191" s="10" t="s">
        <v>20</v>
      </c>
      <c r="F191" s="10">
        <v>0.13469999999999999</v>
      </c>
      <c r="G191" s="10">
        <v>0.86529999999999996</v>
      </c>
      <c r="H191" s="10" t="s">
        <v>31</v>
      </c>
      <c r="I191" s="10" t="b">
        <v>0</v>
      </c>
    </row>
    <row r="192" spans="3:9" x14ac:dyDescent="0.3">
      <c r="C192" s="10">
        <v>87</v>
      </c>
      <c r="D192" s="10">
        <v>2303113</v>
      </c>
      <c r="E192" s="10" t="s">
        <v>20</v>
      </c>
      <c r="F192" s="10">
        <v>0.1338</v>
      </c>
      <c r="G192" s="10">
        <v>0.86619999999999997</v>
      </c>
      <c r="H192" s="10" t="s">
        <v>31</v>
      </c>
      <c r="I192" s="10" t="b">
        <v>0</v>
      </c>
    </row>
    <row r="193" spans="3:9" x14ac:dyDescent="0.3">
      <c r="C193" s="10">
        <v>33</v>
      </c>
      <c r="D193" s="10">
        <v>2303042</v>
      </c>
      <c r="E193" s="10" t="s">
        <v>20</v>
      </c>
      <c r="F193" s="10">
        <v>0.1333</v>
      </c>
      <c r="G193" s="10">
        <v>0.86670000000000003</v>
      </c>
      <c r="H193" s="10" t="s">
        <v>31</v>
      </c>
      <c r="I193" s="10" t="b">
        <v>0</v>
      </c>
    </row>
    <row r="194" spans="3:9" x14ac:dyDescent="0.3">
      <c r="C194" s="10">
        <v>69</v>
      </c>
      <c r="D194" s="10">
        <v>2303087</v>
      </c>
      <c r="E194" s="10" t="s">
        <v>20</v>
      </c>
      <c r="F194" s="10">
        <v>0.13239999999999999</v>
      </c>
      <c r="G194" s="10">
        <v>0.86760000000000004</v>
      </c>
      <c r="H194" s="10" t="s">
        <v>38</v>
      </c>
      <c r="I194" s="10" t="b">
        <v>0</v>
      </c>
    </row>
    <row r="195" spans="3:9" x14ac:dyDescent="0.3">
      <c r="C195" s="10">
        <v>174</v>
      </c>
      <c r="D195" s="10">
        <v>2303231</v>
      </c>
      <c r="E195" s="10" t="s">
        <v>20</v>
      </c>
      <c r="F195" s="10">
        <v>0.1323</v>
      </c>
      <c r="G195" s="10">
        <v>0.86770000000000003</v>
      </c>
      <c r="H195" s="10" t="s">
        <v>31</v>
      </c>
      <c r="I195" s="10" t="b">
        <v>0</v>
      </c>
    </row>
    <row r="196" spans="3:9" x14ac:dyDescent="0.3">
      <c r="C196" s="10">
        <v>101</v>
      </c>
      <c r="D196" s="10">
        <v>2401130</v>
      </c>
      <c r="E196" s="10" t="s">
        <v>20</v>
      </c>
      <c r="F196" s="10">
        <v>0.13220000000000001</v>
      </c>
      <c r="G196" s="10">
        <v>0.86780000000000002</v>
      </c>
      <c r="H196" s="10" t="s">
        <v>31</v>
      </c>
      <c r="I196" s="10" t="b">
        <v>0</v>
      </c>
    </row>
    <row r="197" spans="3:9" x14ac:dyDescent="0.3">
      <c r="C197" s="10">
        <v>74</v>
      </c>
      <c r="D197" s="10">
        <v>2303094</v>
      </c>
      <c r="E197" s="10" t="s">
        <v>20</v>
      </c>
      <c r="F197" s="10">
        <v>0.13020000000000001</v>
      </c>
      <c r="G197" s="10">
        <v>0.86980000000000002</v>
      </c>
      <c r="H197" s="10" t="s">
        <v>38</v>
      </c>
      <c r="I197" s="10" t="b">
        <v>0</v>
      </c>
    </row>
    <row r="198" spans="3:9" x14ac:dyDescent="0.3">
      <c r="C198" s="10">
        <v>133</v>
      </c>
      <c r="D198" s="10">
        <v>2303177</v>
      </c>
      <c r="E198" s="10" t="s">
        <v>20</v>
      </c>
      <c r="F198" s="10">
        <v>0.12959999999999999</v>
      </c>
      <c r="G198" s="10">
        <v>0.87039999999999995</v>
      </c>
      <c r="H198" s="10" t="s">
        <v>31</v>
      </c>
      <c r="I198" s="10" t="b">
        <v>0</v>
      </c>
    </row>
    <row r="199" spans="3:9" x14ac:dyDescent="0.3">
      <c r="C199" s="10">
        <v>275</v>
      </c>
      <c r="D199" s="10">
        <v>2303353</v>
      </c>
      <c r="E199" s="10" t="s">
        <v>20</v>
      </c>
      <c r="F199" s="10">
        <v>0.1295</v>
      </c>
      <c r="G199" s="10">
        <v>0.87050000000000005</v>
      </c>
      <c r="H199" s="10" t="s">
        <v>31</v>
      </c>
      <c r="I199" s="10" t="b">
        <v>0</v>
      </c>
    </row>
    <row r="200" spans="3:9" x14ac:dyDescent="0.3">
      <c r="C200" s="10">
        <v>288</v>
      </c>
      <c r="D200" s="10">
        <v>2303366</v>
      </c>
      <c r="E200" s="10" t="s">
        <v>20</v>
      </c>
      <c r="F200" s="10">
        <v>0.12939999999999999</v>
      </c>
      <c r="G200" s="10">
        <v>0.87060000000000004</v>
      </c>
      <c r="H200" s="10" t="s">
        <v>31</v>
      </c>
      <c r="I200" s="10" t="b">
        <v>0</v>
      </c>
    </row>
    <row r="201" spans="3:9" x14ac:dyDescent="0.3">
      <c r="C201" s="10">
        <v>56</v>
      </c>
      <c r="D201" s="10">
        <v>2303067</v>
      </c>
      <c r="E201" s="10" t="s">
        <v>20</v>
      </c>
      <c r="F201" s="10">
        <v>0.1283</v>
      </c>
      <c r="G201" s="10">
        <v>0.87170000000000003</v>
      </c>
      <c r="H201" s="10" t="s">
        <v>31</v>
      </c>
      <c r="I201" s="10" t="b">
        <v>0</v>
      </c>
    </row>
    <row r="202" spans="3:9" x14ac:dyDescent="0.3">
      <c r="C202" s="10">
        <v>269</v>
      </c>
      <c r="D202" s="10">
        <v>2303347</v>
      </c>
      <c r="E202" s="10" t="s">
        <v>20</v>
      </c>
      <c r="F202" s="10">
        <v>0.12770000000000001</v>
      </c>
      <c r="G202" s="10">
        <v>0.87229999999999996</v>
      </c>
      <c r="H202" s="10" t="s">
        <v>46</v>
      </c>
      <c r="I202" s="10" t="b">
        <v>0</v>
      </c>
    </row>
    <row r="203" spans="3:9" x14ac:dyDescent="0.3">
      <c r="C203" s="10">
        <v>232</v>
      </c>
      <c r="D203" s="10">
        <v>2303303</v>
      </c>
      <c r="E203" s="10" t="s">
        <v>20</v>
      </c>
      <c r="F203" s="10">
        <v>0.1275</v>
      </c>
      <c r="G203" s="10">
        <v>0.87250000000000005</v>
      </c>
      <c r="H203" s="10" t="s">
        <v>38</v>
      </c>
      <c r="I203" s="10" t="b">
        <v>0</v>
      </c>
    </row>
    <row r="204" spans="3:9" x14ac:dyDescent="0.3">
      <c r="C204" s="10">
        <v>72</v>
      </c>
      <c r="D204" s="10">
        <v>2303092</v>
      </c>
      <c r="E204" s="10" t="s">
        <v>20</v>
      </c>
      <c r="F204" s="10">
        <v>0.12670000000000001</v>
      </c>
      <c r="G204" s="10">
        <v>0.87329999999999997</v>
      </c>
      <c r="H204" s="10" t="s">
        <v>31</v>
      </c>
      <c r="I204" s="10" t="b">
        <v>0</v>
      </c>
    </row>
    <row r="205" spans="3:9" x14ac:dyDescent="0.3">
      <c r="C205" s="10">
        <v>187</v>
      </c>
      <c r="D205" s="10">
        <v>2303245</v>
      </c>
      <c r="E205" s="10" t="s">
        <v>20</v>
      </c>
      <c r="F205" s="10">
        <v>0.12609999999999999</v>
      </c>
      <c r="G205" s="10">
        <v>0.87390000000000001</v>
      </c>
      <c r="H205" s="10" t="s">
        <v>38</v>
      </c>
      <c r="I205" s="10" t="b">
        <v>0</v>
      </c>
    </row>
    <row r="206" spans="3:9" x14ac:dyDescent="0.3">
      <c r="C206" s="10">
        <v>65</v>
      </c>
      <c r="D206" s="10">
        <v>2401081</v>
      </c>
      <c r="E206" s="10" t="s">
        <v>20</v>
      </c>
      <c r="F206" s="10">
        <v>0.12559999999999999</v>
      </c>
      <c r="G206" s="10">
        <v>0.87439999999999996</v>
      </c>
      <c r="H206" s="10" t="s">
        <v>31</v>
      </c>
      <c r="I206" s="10" t="b">
        <v>0</v>
      </c>
    </row>
    <row r="207" spans="3:9" x14ac:dyDescent="0.3">
      <c r="C207" s="10">
        <v>71</v>
      </c>
      <c r="D207" s="10">
        <v>2303091</v>
      </c>
      <c r="E207" s="10" t="s">
        <v>20</v>
      </c>
      <c r="F207" s="10">
        <v>0.1246</v>
      </c>
      <c r="G207" s="10">
        <v>0.87539999999999996</v>
      </c>
      <c r="H207" s="10" t="s">
        <v>38</v>
      </c>
      <c r="I207" s="10" t="b">
        <v>0</v>
      </c>
    </row>
    <row r="208" spans="3:9" x14ac:dyDescent="0.3">
      <c r="C208" s="10">
        <v>139</v>
      </c>
      <c r="D208" s="10">
        <v>2303186</v>
      </c>
      <c r="E208" s="10" t="s">
        <v>20</v>
      </c>
      <c r="F208" s="10">
        <v>0.124</v>
      </c>
      <c r="G208" s="10">
        <v>0.876</v>
      </c>
      <c r="H208" s="10" t="s">
        <v>38</v>
      </c>
      <c r="I208" s="10" t="b">
        <v>0</v>
      </c>
    </row>
    <row r="209" spans="3:9" x14ac:dyDescent="0.3">
      <c r="C209" s="10">
        <v>152</v>
      </c>
      <c r="D209" s="10">
        <v>2303206</v>
      </c>
      <c r="E209" s="10" t="s">
        <v>20</v>
      </c>
      <c r="F209" s="10">
        <v>0.1236</v>
      </c>
      <c r="G209" s="10">
        <v>0.87639999999999996</v>
      </c>
      <c r="H209" s="10" t="s">
        <v>26</v>
      </c>
      <c r="I209" s="10" t="b">
        <v>0</v>
      </c>
    </row>
    <row r="210" spans="3:9" x14ac:dyDescent="0.3">
      <c r="C210" s="10">
        <v>229</v>
      </c>
      <c r="D210" s="10">
        <v>2303300</v>
      </c>
      <c r="E210" s="10" t="s">
        <v>20</v>
      </c>
      <c r="F210" s="10">
        <v>0.12139999999999999</v>
      </c>
      <c r="G210" s="10">
        <v>0.87860000000000005</v>
      </c>
      <c r="H210" s="10" t="s">
        <v>31</v>
      </c>
      <c r="I210" s="10" t="b">
        <v>0</v>
      </c>
    </row>
    <row r="211" spans="3:9" x14ac:dyDescent="0.3">
      <c r="C211" s="10">
        <v>185</v>
      </c>
      <c r="D211" s="10">
        <v>2303243</v>
      </c>
      <c r="E211" s="10" t="s">
        <v>20</v>
      </c>
      <c r="F211" s="10">
        <v>0.1205</v>
      </c>
      <c r="G211" s="10">
        <v>0.87949999999999995</v>
      </c>
      <c r="H211" s="10" t="s">
        <v>31</v>
      </c>
      <c r="I211" s="10" t="b">
        <v>0</v>
      </c>
    </row>
    <row r="212" spans="3:9" x14ac:dyDescent="0.3">
      <c r="C212" s="10">
        <v>138</v>
      </c>
      <c r="D212" s="10">
        <v>2303184</v>
      </c>
      <c r="E212" s="10" t="s">
        <v>20</v>
      </c>
      <c r="F212" s="10">
        <v>0.1201</v>
      </c>
      <c r="G212" s="10">
        <v>0.87990000000000002</v>
      </c>
      <c r="H212" s="10" t="s">
        <v>38</v>
      </c>
      <c r="I212" s="10" t="b">
        <v>0</v>
      </c>
    </row>
    <row r="213" spans="3:9" x14ac:dyDescent="0.3">
      <c r="C213" s="10">
        <v>201</v>
      </c>
      <c r="D213" s="10">
        <v>2303263</v>
      </c>
      <c r="E213" s="10" t="s">
        <v>20</v>
      </c>
      <c r="F213" s="10">
        <v>0.1169</v>
      </c>
      <c r="G213" s="10">
        <v>0.8831</v>
      </c>
      <c r="H213" s="10" t="s">
        <v>38</v>
      </c>
      <c r="I213" s="10" t="b">
        <v>0</v>
      </c>
    </row>
    <row r="214" spans="3:9" x14ac:dyDescent="0.3">
      <c r="C214" s="10">
        <v>74</v>
      </c>
      <c r="D214" s="10">
        <v>2401093</v>
      </c>
      <c r="E214" s="10" t="s">
        <v>20</v>
      </c>
      <c r="F214" s="10">
        <v>0.1168</v>
      </c>
      <c r="G214" s="10">
        <v>0.88319999999999999</v>
      </c>
      <c r="H214" s="10" t="s">
        <v>38</v>
      </c>
      <c r="I214" s="10" t="b">
        <v>0</v>
      </c>
    </row>
    <row r="215" spans="3:9" x14ac:dyDescent="0.3">
      <c r="C215" s="10">
        <v>51</v>
      </c>
      <c r="D215" s="10">
        <v>2303060</v>
      </c>
      <c r="E215" s="10" t="s">
        <v>20</v>
      </c>
      <c r="F215" s="10">
        <v>0.1164</v>
      </c>
      <c r="G215" s="10">
        <v>0.88360000000000005</v>
      </c>
      <c r="H215" s="10" t="s">
        <v>38</v>
      </c>
      <c r="I215" s="10" t="b">
        <v>0</v>
      </c>
    </row>
    <row r="216" spans="3:9" x14ac:dyDescent="0.3">
      <c r="C216" s="10">
        <v>84</v>
      </c>
      <c r="D216" s="10">
        <v>2303110</v>
      </c>
      <c r="E216" s="10" t="s">
        <v>20</v>
      </c>
      <c r="F216" s="10">
        <v>0.11600000000000001</v>
      </c>
      <c r="G216" s="10">
        <v>0.88400000000000001</v>
      </c>
      <c r="H216" s="10" t="s">
        <v>38</v>
      </c>
      <c r="I216" s="10" t="b">
        <v>0</v>
      </c>
    </row>
    <row r="217" spans="3:9" x14ac:dyDescent="0.3">
      <c r="C217" s="10">
        <v>109</v>
      </c>
      <c r="D217" s="10">
        <v>2303143</v>
      </c>
      <c r="E217" s="10" t="s">
        <v>20</v>
      </c>
      <c r="F217" s="10">
        <v>0.11600000000000001</v>
      </c>
      <c r="G217" s="10">
        <v>0.88400000000000001</v>
      </c>
      <c r="H217" s="10" t="s">
        <v>38</v>
      </c>
      <c r="I217" s="10" t="b">
        <v>0</v>
      </c>
    </row>
    <row r="218" spans="3:9" x14ac:dyDescent="0.3">
      <c r="C218" s="10">
        <v>145</v>
      </c>
      <c r="D218" s="10">
        <v>2303193</v>
      </c>
      <c r="E218" s="10" t="s">
        <v>20</v>
      </c>
      <c r="F218" s="10">
        <v>0.1159</v>
      </c>
      <c r="G218" s="10">
        <v>0.8841</v>
      </c>
      <c r="H218" s="10" t="s">
        <v>28</v>
      </c>
      <c r="I218" s="10" t="b">
        <v>0</v>
      </c>
    </row>
    <row r="219" spans="3:9" x14ac:dyDescent="0.3">
      <c r="C219" s="10">
        <v>114</v>
      </c>
      <c r="D219" s="10">
        <v>2401144</v>
      </c>
      <c r="E219" s="10" t="s">
        <v>20</v>
      </c>
      <c r="F219" s="10">
        <v>0.1147</v>
      </c>
      <c r="G219" s="10">
        <v>0.88529999999999998</v>
      </c>
      <c r="H219" s="10" t="s">
        <v>31</v>
      </c>
      <c r="I219" s="10" t="b">
        <v>0</v>
      </c>
    </row>
    <row r="220" spans="3:9" x14ac:dyDescent="0.3">
      <c r="C220" s="10">
        <v>137</v>
      </c>
      <c r="D220" s="10">
        <v>2303183</v>
      </c>
      <c r="E220" s="10" t="s">
        <v>20</v>
      </c>
      <c r="F220" s="10">
        <v>0.114</v>
      </c>
      <c r="G220" s="10">
        <v>0.88600000000000001</v>
      </c>
      <c r="H220" s="10" t="s">
        <v>38</v>
      </c>
      <c r="I220" s="10" t="b">
        <v>0</v>
      </c>
    </row>
    <row r="221" spans="3:9" x14ac:dyDescent="0.3">
      <c r="C221" s="10">
        <v>102</v>
      </c>
      <c r="D221" s="10">
        <v>2303133</v>
      </c>
      <c r="E221" s="10" t="s">
        <v>20</v>
      </c>
      <c r="F221" s="10">
        <v>0.1138</v>
      </c>
      <c r="G221" s="10">
        <v>0.88619999999999999</v>
      </c>
      <c r="H221" s="10" t="s">
        <v>38</v>
      </c>
      <c r="I221" s="10" t="b">
        <v>0</v>
      </c>
    </row>
    <row r="222" spans="3:9" x14ac:dyDescent="0.3">
      <c r="C222" s="10">
        <v>120</v>
      </c>
      <c r="D222" s="10">
        <v>2303159</v>
      </c>
      <c r="E222" s="10" t="s">
        <v>20</v>
      </c>
      <c r="F222" s="10">
        <v>0.1138</v>
      </c>
      <c r="G222" s="10">
        <v>0.88619999999999999</v>
      </c>
      <c r="H222" s="10" t="s">
        <v>38</v>
      </c>
      <c r="I222" s="10" t="b">
        <v>0</v>
      </c>
    </row>
    <row r="223" spans="3:9" x14ac:dyDescent="0.3">
      <c r="C223" s="10">
        <v>160</v>
      </c>
      <c r="D223" s="10">
        <v>2303215</v>
      </c>
      <c r="E223" s="10" t="s">
        <v>20</v>
      </c>
      <c r="F223" s="10">
        <v>0.1137</v>
      </c>
      <c r="G223" s="10">
        <v>0.88629999999999998</v>
      </c>
      <c r="H223" s="10" t="s">
        <v>31</v>
      </c>
      <c r="I223" s="10" t="b">
        <v>0</v>
      </c>
    </row>
    <row r="224" spans="3:9" x14ac:dyDescent="0.3">
      <c r="C224" s="10">
        <v>90</v>
      </c>
      <c r="D224" s="10">
        <v>2401116</v>
      </c>
      <c r="E224" s="10" t="s">
        <v>20</v>
      </c>
      <c r="F224" s="10">
        <v>0.113</v>
      </c>
      <c r="G224" s="10">
        <v>0.88700000000000001</v>
      </c>
      <c r="H224" s="10" t="s">
        <v>38</v>
      </c>
      <c r="I224" s="10" t="b">
        <v>0</v>
      </c>
    </row>
    <row r="225" spans="3:9" x14ac:dyDescent="0.3">
      <c r="C225" s="10">
        <v>293</v>
      </c>
      <c r="D225" s="10">
        <v>2303372</v>
      </c>
      <c r="E225" s="10" t="s">
        <v>20</v>
      </c>
      <c r="F225" s="10">
        <v>0.1124</v>
      </c>
      <c r="G225" s="10">
        <v>0.88759999999999994</v>
      </c>
      <c r="H225" s="10" t="s">
        <v>33</v>
      </c>
      <c r="I225" s="10" t="b">
        <v>0</v>
      </c>
    </row>
    <row r="226" spans="3:9" x14ac:dyDescent="0.3">
      <c r="C226" s="10">
        <v>79</v>
      </c>
      <c r="D226" s="10">
        <v>2303100</v>
      </c>
      <c r="E226" s="10" t="s">
        <v>20</v>
      </c>
      <c r="F226" s="10">
        <v>0.11070000000000001</v>
      </c>
      <c r="G226" s="10">
        <v>0.88929999999999998</v>
      </c>
      <c r="H226" s="10" t="s">
        <v>38</v>
      </c>
      <c r="I226" s="10" t="b">
        <v>0</v>
      </c>
    </row>
    <row r="227" spans="3:9" x14ac:dyDescent="0.3">
      <c r="C227" s="10">
        <v>270</v>
      </c>
      <c r="D227" s="10">
        <v>2303348</v>
      </c>
      <c r="E227" s="10" t="s">
        <v>20</v>
      </c>
      <c r="F227" s="10">
        <v>0.11</v>
      </c>
      <c r="G227" s="10">
        <v>0.89</v>
      </c>
      <c r="H227" s="10" t="s">
        <v>33</v>
      </c>
      <c r="I227" s="10" t="b">
        <v>0</v>
      </c>
    </row>
    <row r="228" spans="3:9" x14ac:dyDescent="0.3">
      <c r="C228" s="10">
        <v>73</v>
      </c>
      <c r="D228" s="10">
        <v>2303093</v>
      </c>
      <c r="E228" s="10" t="s">
        <v>20</v>
      </c>
      <c r="F228" s="10">
        <v>0.10979999999999999</v>
      </c>
      <c r="G228" s="10">
        <v>0.89019999999999999</v>
      </c>
      <c r="H228" s="10" t="s">
        <v>38</v>
      </c>
      <c r="I228" s="10" t="b">
        <v>0</v>
      </c>
    </row>
    <row r="229" spans="3:9" x14ac:dyDescent="0.3">
      <c r="C229" s="10">
        <v>21</v>
      </c>
      <c r="D229" s="10">
        <v>2401029</v>
      </c>
      <c r="E229" s="10" t="s">
        <v>20</v>
      </c>
      <c r="F229" s="10">
        <v>0.109</v>
      </c>
      <c r="G229" s="10">
        <v>0.89100000000000001</v>
      </c>
      <c r="H229" s="10" t="s">
        <v>46</v>
      </c>
      <c r="I229" s="10" t="b">
        <v>0</v>
      </c>
    </row>
    <row r="230" spans="3:9" x14ac:dyDescent="0.3">
      <c r="C230" s="10">
        <v>230</v>
      </c>
      <c r="D230" s="10">
        <v>2303301</v>
      </c>
      <c r="E230" s="10" t="s">
        <v>20</v>
      </c>
      <c r="F230" s="10">
        <v>0.1082</v>
      </c>
      <c r="G230" s="10">
        <v>0.89180000000000004</v>
      </c>
      <c r="H230" s="10" t="s">
        <v>38</v>
      </c>
      <c r="I230" s="10" t="b">
        <v>0</v>
      </c>
    </row>
    <row r="231" spans="3:9" x14ac:dyDescent="0.3">
      <c r="C231" s="10">
        <v>62</v>
      </c>
      <c r="D231" s="10">
        <v>2401078</v>
      </c>
      <c r="E231" s="10" t="s">
        <v>20</v>
      </c>
      <c r="F231" s="10">
        <v>0.10730000000000001</v>
      </c>
      <c r="G231" s="10">
        <v>0.89270000000000005</v>
      </c>
      <c r="H231" s="10" t="s">
        <v>31</v>
      </c>
      <c r="I231" s="10" t="b">
        <v>0</v>
      </c>
    </row>
    <row r="232" spans="3:9" x14ac:dyDescent="0.3">
      <c r="C232" s="10">
        <v>196</v>
      </c>
      <c r="D232" s="10">
        <v>2303257</v>
      </c>
      <c r="E232" s="10" t="s">
        <v>20</v>
      </c>
      <c r="F232" s="10">
        <v>0.1072</v>
      </c>
      <c r="G232" s="10">
        <v>0.89280000000000004</v>
      </c>
      <c r="H232" s="10" t="s">
        <v>38</v>
      </c>
      <c r="I232" s="10" t="b">
        <v>0</v>
      </c>
    </row>
    <row r="233" spans="3:9" x14ac:dyDescent="0.3">
      <c r="C233" s="10">
        <v>72</v>
      </c>
      <c r="D233" s="10">
        <v>2401090</v>
      </c>
      <c r="E233" s="10" t="s">
        <v>20</v>
      </c>
      <c r="F233" s="10">
        <v>0.1061</v>
      </c>
      <c r="G233" s="10">
        <v>0.89390000000000003</v>
      </c>
      <c r="H233" s="10" t="s">
        <v>31</v>
      </c>
      <c r="I233" s="10" t="b">
        <v>0</v>
      </c>
    </row>
    <row r="234" spans="3:9" x14ac:dyDescent="0.3">
      <c r="C234" s="10">
        <v>30</v>
      </c>
      <c r="D234" s="10">
        <v>2303039</v>
      </c>
      <c r="E234" s="10" t="s">
        <v>20</v>
      </c>
      <c r="F234" s="10">
        <v>0.1043</v>
      </c>
      <c r="G234" s="10">
        <v>0.89570000000000005</v>
      </c>
      <c r="H234" s="10" t="s">
        <v>31</v>
      </c>
      <c r="I234" s="10" t="b">
        <v>0</v>
      </c>
    </row>
    <row r="235" spans="3:9" x14ac:dyDescent="0.3">
      <c r="C235" s="10">
        <v>2</v>
      </c>
      <c r="D235" s="10">
        <v>2303003</v>
      </c>
      <c r="E235" s="10" t="s">
        <v>20</v>
      </c>
      <c r="F235" s="10">
        <v>0.1042</v>
      </c>
      <c r="G235" s="10">
        <v>0.89580000000000004</v>
      </c>
      <c r="H235" s="10" t="s">
        <v>28</v>
      </c>
      <c r="I235" s="10" t="b">
        <v>0</v>
      </c>
    </row>
    <row r="236" spans="3:9" x14ac:dyDescent="0.3">
      <c r="C236" s="10">
        <v>65</v>
      </c>
      <c r="D236" s="10">
        <v>2303083</v>
      </c>
      <c r="E236" s="10" t="s">
        <v>20</v>
      </c>
      <c r="F236" s="10">
        <v>0.1042</v>
      </c>
      <c r="G236" s="10">
        <v>0.89580000000000004</v>
      </c>
      <c r="H236" s="10" t="s">
        <v>38</v>
      </c>
      <c r="I236" s="10" t="b">
        <v>0</v>
      </c>
    </row>
    <row r="237" spans="3:9" x14ac:dyDescent="0.3">
      <c r="C237" s="10">
        <v>35</v>
      </c>
      <c r="D237" s="10">
        <v>2401048</v>
      </c>
      <c r="E237" s="10" t="s">
        <v>20</v>
      </c>
      <c r="F237" s="10">
        <v>0.1021</v>
      </c>
      <c r="G237" s="10">
        <v>0.89790000000000003</v>
      </c>
      <c r="H237" s="10" t="s">
        <v>46</v>
      </c>
      <c r="I237" s="10" t="b">
        <v>0</v>
      </c>
    </row>
    <row r="238" spans="3:9" x14ac:dyDescent="0.3">
      <c r="C238" s="10">
        <v>101</v>
      </c>
      <c r="D238" s="10">
        <v>2303132</v>
      </c>
      <c r="E238" s="10" t="s">
        <v>20</v>
      </c>
      <c r="F238" s="10">
        <v>0.1013</v>
      </c>
      <c r="G238" s="10">
        <v>0.89870000000000005</v>
      </c>
      <c r="H238" s="10" t="s">
        <v>38</v>
      </c>
      <c r="I238" s="10" t="b">
        <v>0</v>
      </c>
    </row>
    <row r="239" spans="3:9" x14ac:dyDescent="0.3">
      <c r="C239" s="10">
        <v>53</v>
      </c>
      <c r="D239" s="10">
        <v>2401068</v>
      </c>
      <c r="E239" s="10" t="s">
        <v>20</v>
      </c>
      <c r="F239" s="10">
        <v>0.1008</v>
      </c>
      <c r="G239" s="10">
        <v>0.8992</v>
      </c>
      <c r="H239" s="10" t="s">
        <v>45</v>
      </c>
      <c r="I239" s="10" t="b">
        <v>0</v>
      </c>
    </row>
    <row r="240" spans="3:9" x14ac:dyDescent="0.3">
      <c r="C240" s="10">
        <v>23</v>
      </c>
      <c r="D240" s="10">
        <v>2303029</v>
      </c>
      <c r="E240" s="10" t="s">
        <v>20</v>
      </c>
      <c r="F240" s="10">
        <v>0.1007</v>
      </c>
      <c r="G240" s="10">
        <v>0.89929999999999999</v>
      </c>
      <c r="H240" s="10" t="s">
        <v>31</v>
      </c>
      <c r="I240" s="10" t="b">
        <v>0</v>
      </c>
    </row>
    <row r="241" spans="3:9" x14ac:dyDescent="0.3">
      <c r="C241" s="10">
        <v>135</v>
      </c>
      <c r="D241" s="10">
        <v>2303179</v>
      </c>
      <c r="E241" s="10" t="s">
        <v>20</v>
      </c>
      <c r="F241" s="10">
        <v>9.98E-2</v>
      </c>
      <c r="G241" s="10">
        <v>0.9002</v>
      </c>
      <c r="H241" s="10" t="s">
        <v>38</v>
      </c>
      <c r="I241" s="10" t="b">
        <v>0</v>
      </c>
    </row>
    <row r="242" spans="3:9" x14ac:dyDescent="0.3">
      <c r="C242" s="10">
        <v>70</v>
      </c>
      <c r="D242" s="10">
        <v>2401087</v>
      </c>
      <c r="E242" s="10" t="s">
        <v>20</v>
      </c>
      <c r="F242" s="10">
        <v>9.9400000000000002E-2</v>
      </c>
      <c r="G242" s="10">
        <v>0.90059999999999996</v>
      </c>
      <c r="H242" s="10" t="s">
        <v>31</v>
      </c>
      <c r="I242" s="10" t="b">
        <v>0</v>
      </c>
    </row>
    <row r="243" spans="3:9" x14ac:dyDescent="0.3">
      <c r="C243" s="10">
        <v>279</v>
      </c>
      <c r="D243" s="10">
        <v>2303357</v>
      </c>
      <c r="E243" s="10" t="s">
        <v>20</v>
      </c>
      <c r="F243" s="10">
        <v>9.9299999999999999E-2</v>
      </c>
      <c r="G243" s="10">
        <v>0.90069999999999995</v>
      </c>
      <c r="H243" s="10" t="s">
        <v>31</v>
      </c>
      <c r="I243" s="10" t="b">
        <v>0</v>
      </c>
    </row>
    <row r="244" spans="3:9" x14ac:dyDescent="0.3">
      <c r="C244" s="10">
        <v>225</v>
      </c>
      <c r="D244" s="10">
        <v>2303296</v>
      </c>
      <c r="E244" s="10" t="s">
        <v>20</v>
      </c>
      <c r="F244" s="10">
        <v>9.8799999999999999E-2</v>
      </c>
      <c r="G244" s="10">
        <v>0.9012</v>
      </c>
      <c r="H244" s="10" t="s">
        <v>31</v>
      </c>
      <c r="I244" s="10" t="b">
        <v>0</v>
      </c>
    </row>
    <row r="245" spans="3:9" x14ac:dyDescent="0.3">
      <c r="C245" s="10">
        <v>38</v>
      </c>
      <c r="D245" s="10">
        <v>2401051</v>
      </c>
      <c r="E245" s="10" t="s">
        <v>20</v>
      </c>
      <c r="F245" s="10">
        <v>9.7600000000000006E-2</v>
      </c>
      <c r="G245" s="10">
        <v>0.90239999999999998</v>
      </c>
      <c r="H245" s="10" t="s">
        <v>33</v>
      </c>
      <c r="I245" s="10" t="b">
        <v>0</v>
      </c>
    </row>
    <row r="246" spans="3:9" x14ac:dyDescent="0.3">
      <c r="C246" s="10">
        <v>194</v>
      </c>
      <c r="D246" s="10">
        <v>2303254</v>
      </c>
      <c r="E246" s="10" t="s">
        <v>20</v>
      </c>
      <c r="F246" s="10">
        <v>9.6799999999999997E-2</v>
      </c>
      <c r="G246" s="10">
        <v>0.9032</v>
      </c>
      <c r="H246" s="10" t="s">
        <v>38</v>
      </c>
      <c r="I246" s="10" t="b">
        <v>0</v>
      </c>
    </row>
    <row r="247" spans="3:9" x14ac:dyDescent="0.3">
      <c r="C247" s="10">
        <v>291</v>
      </c>
      <c r="D247" s="10">
        <v>2303370</v>
      </c>
      <c r="E247" s="10" t="s">
        <v>20</v>
      </c>
      <c r="F247" s="10">
        <v>9.6799999999999997E-2</v>
      </c>
      <c r="G247" s="10">
        <v>0.9032</v>
      </c>
      <c r="H247" s="10" t="s">
        <v>38</v>
      </c>
      <c r="I247" s="10" t="b">
        <v>0</v>
      </c>
    </row>
    <row r="248" spans="3:9" x14ac:dyDescent="0.3">
      <c r="C248" s="10">
        <v>70</v>
      </c>
      <c r="D248" s="10">
        <v>2303088</v>
      </c>
      <c r="E248" s="10" t="s">
        <v>20</v>
      </c>
      <c r="F248" s="10">
        <v>9.64E-2</v>
      </c>
      <c r="G248" s="10">
        <v>0.90359999999999996</v>
      </c>
      <c r="H248" s="10" t="s">
        <v>46</v>
      </c>
      <c r="I248" s="10" t="b">
        <v>0</v>
      </c>
    </row>
    <row r="249" spans="3:9" x14ac:dyDescent="0.3">
      <c r="C249" s="10">
        <v>85</v>
      </c>
      <c r="D249" s="10">
        <v>2303111</v>
      </c>
      <c r="E249" s="10" t="s">
        <v>20</v>
      </c>
      <c r="F249" s="10">
        <v>9.6199999999999994E-2</v>
      </c>
      <c r="G249" s="10">
        <v>0.90380000000000005</v>
      </c>
      <c r="H249" s="10" t="s">
        <v>38</v>
      </c>
      <c r="I249" s="10" t="b">
        <v>0</v>
      </c>
    </row>
    <row r="250" spans="3:9" x14ac:dyDescent="0.3">
      <c r="C250" s="10">
        <v>165</v>
      </c>
      <c r="D250" s="10">
        <v>2303222</v>
      </c>
      <c r="E250" s="10" t="s">
        <v>20</v>
      </c>
      <c r="F250" s="10">
        <v>9.4399999999999998E-2</v>
      </c>
      <c r="G250" s="10">
        <v>0.90559999999999996</v>
      </c>
      <c r="H250" s="10" t="s">
        <v>45</v>
      </c>
      <c r="I250" s="10" t="b">
        <v>0</v>
      </c>
    </row>
    <row r="251" spans="3:9" x14ac:dyDescent="0.3">
      <c r="C251" s="10">
        <v>98</v>
      </c>
      <c r="D251" s="10">
        <v>2303128</v>
      </c>
      <c r="E251" s="10" t="s">
        <v>20</v>
      </c>
      <c r="F251" s="10">
        <v>9.3600000000000003E-2</v>
      </c>
      <c r="G251" s="10">
        <v>0.90639999999999998</v>
      </c>
      <c r="H251" s="10" t="s">
        <v>35</v>
      </c>
      <c r="I251" s="10" t="b">
        <v>0</v>
      </c>
    </row>
    <row r="252" spans="3:9" x14ac:dyDescent="0.3">
      <c r="C252" s="10">
        <v>172</v>
      </c>
      <c r="D252" s="10">
        <v>2303229</v>
      </c>
      <c r="E252" s="10" t="s">
        <v>20</v>
      </c>
      <c r="F252" s="10">
        <v>9.3399999999999997E-2</v>
      </c>
      <c r="G252" s="10">
        <v>0.90659999999999996</v>
      </c>
      <c r="H252" s="10" t="s">
        <v>31</v>
      </c>
      <c r="I252" s="10" t="b">
        <v>0</v>
      </c>
    </row>
    <row r="253" spans="3:9" x14ac:dyDescent="0.3">
      <c r="C253" s="10">
        <v>191</v>
      </c>
      <c r="D253" s="10">
        <v>2303250</v>
      </c>
      <c r="E253" s="10" t="s">
        <v>20</v>
      </c>
      <c r="F253" s="10">
        <v>9.2600000000000002E-2</v>
      </c>
      <c r="G253" s="10">
        <v>0.90739999999999998</v>
      </c>
      <c r="H253" s="10" t="s">
        <v>45</v>
      </c>
      <c r="I253" s="10" t="b">
        <v>0</v>
      </c>
    </row>
    <row r="254" spans="3:9" x14ac:dyDescent="0.3">
      <c r="C254" s="10">
        <v>2</v>
      </c>
      <c r="D254" s="10">
        <v>2401006</v>
      </c>
      <c r="E254" s="10" t="s">
        <v>20</v>
      </c>
      <c r="F254" s="10">
        <v>9.2299999999999993E-2</v>
      </c>
      <c r="G254" s="10">
        <v>0.90769999999999995</v>
      </c>
      <c r="H254" s="10" t="s">
        <v>31</v>
      </c>
      <c r="I254" s="10" t="b">
        <v>0</v>
      </c>
    </row>
    <row r="255" spans="3:9" x14ac:dyDescent="0.3">
      <c r="C255" s="10">
        <v>158</v>
      </c>
      <c r="D255" s="10">
        <v>2303213</v>
      </c>
      <c r="E255" s="10" t="s">
        <v>20</v>
      </c>
      <c r="F255" s="10">
        <v>9.2100000000000001E-2</v>
      </c>
      <c r="G255" s="10">
        <v>0.90790000000000004</v>
      </c>
      <c r="H255" s="10" t="s">
        <v>31</v>
      </c>
      <c r="I255" s="10" t="b">
        <v>0</v>
      </c>
    </row>
    <row r="256" spans="3:9" x14ac:dyDescent="0.3">
      <c r="C256" s="10">
        <v>36</v>
      </c>
      <c r="D256" s="10">
        <v>2401049</v>
      </c>
      <c r="E256" s="10" t="s">
        <v>20</v>
      </c>
      <c r="F256" s="10">
        <v>9.0999999999999998E-2</v>
      </c>
      <c r="G256" s="10">
        <v>0.90900000000000003</v>
      </c>
      <c r="H256" s="10" t="s">
        <v>31</v>
      </c>
      <c r="I256" s="10" t="b">
        <v>0</v>
      </c>
    </row>
    <row r="257" spans="3:9" x14ac:dyDescent="0.3">
      <c r="C257" s="10">
        <v>83</v>
      </c>
      <c r="D257" s="10">
        <v>2303109</v>
      </c>
      <c r="E257" s="10" t="s">
        <v>20</v>
      </c>
      <c r="F257" s="10">
        <v>9.0700000000000003E-2</v>
      </c>
      <c r="G257" s="10">
        <v>0.9093</v>
      </c>
      <c r="H257" s="10" t="s">
        <v>38</v>
      </c>
      <c r="I257" s="10" t="b">
        <v>0</v>
      </c>
    </row>
    <row r="258" spans="3:9" x14ac:dyDescent="0.3">
      <c r="C258" s="10">
        <v>3</v>
      </c>
      <c r="D258" s="10">
        <v>2401008</v>
      </c>
      <c r="E258" s="10" t="s">
        <v>20</v>
      </c>
      <c r="F258" s="10">
        <v>9.01E-2</v>
      </c>
      <c r="G258" s="10">
        <v>0.90990000000000004</v>
      </c>
      <c r="H258" s="10" t="s">
        <v>31</v>
      </c>
      <c r="I258" s="10" t="b">
        <v>0</v>
      </c>
    </row>
    <row r="259" spans="3:9" x14ac:dyDescent="0.3">
      <c r="C259" s="10">
        <v>126</v>
      </c>
      <c r="D259" s="10">
        <v>2303167</v>
      </c>
      <c r="E259" s="10" t="s">
        <v>20</v>
      </c>
      <c r="F259" s="10">
        <v>0.09</v>
      </c>
      <c r="G259" s="10">
        <v>0.91</v>
      </c>
      <c r="H259" s="10" t="s">
        <v>28</v>
      </c>
      <c r="I259" s="10" t="b">
        <v>0</v>
      </c>
    </row>
    <row r="260" spans="3:9" x14ac:dyDescent="0.3">
      <c r="C260" s="10">
        <v>77</v>
      </c>
      <c r="D260" s="10">
        <v>2303097</v>
      </c>
      <c r="E260" s="10" t="s">
        <v>20</v>
      </c>
      <c r="F260" s="10">
        <v>8.9599999999999999E-2</v>
      </c>
      <c r="G260" s="10">
        <v>0.91039999999999999</v>
      </c>
      <c r="H260" s="10" t="s">
        <v>35</v>
      </c>
      <c r="I260" s="10" t="b">
        <v>0</v>
      </c>
    </row>
    <row r="261" spans="3:9" x14ac:dyDescent="0.3">
      <c r="C261" s="10">
        <v>256</v>
      </c>
      <c r="D261" s="10">
        <v>2303333</v>
      </c>
      <c r="E261" s="10" t="s">
        <v>20</v>
      </c>
      <c r="F261" s="10">
        <v>8.9599999999999999E-2</v>
      </c>
      <c r="G261" s="10">
        <v>0.91039999999999999</v>
      </c>
      <c r="H261" s="10" t="s">
        <v>46</v>
      </c>
      <c r="I261" s="10" t="b">
        <v>0</v>
      </c>
    </row>
    <row r="262" spans="3:9" x14ac:dyDescent="0.3">
      <c r="C262" s="10">
        <v>9</v>
      </c>
      <c r="D262" s="10">
        <v>2401014</v>
      </c>
      <c r="E262" s="10" t="s">
        <v>20</v>
      </c>
      <c r="F262" s="10">
        <v>8.7599999999999997E-2</v>
      </c>
      <c r="G262" s="10">
        <v>0.91239999999999999</v>
      </c>
      <c r="H262" s="10" t="s">
        <v>31</v>
      </c>
      <c r="I262" s="10" t="b">
        <v>0</v>
      </c>
    </row>
    <row r="263" spans="3:9" x14ac:dyDescent="0.3">
      <c r="C263" s="10">
        <v>249</v>
      </c>
      <c r="D263" s="10">
        <v>2303326</v>
      </c>
      <c r="E263" s="10" t="s">
        <v>20</v>
      </c>
      <c r="F263" s="10">
        <v>8.7300000000000003E-2</v>
      </c>
      <c r="G263" s="10">
        <v>0.91269999999999996</v>
      </c>
      <c r="H263" s="10" t="s">
        <v>31</v>
      </c>
      <c r="I263" s="10" t="b">
        <v>0</v>
      </c>
    </row>
    <row r="264" spans="3:9" x14ac:dyDescent="0.3">
      <c r="C264" s="10">
        <v>83</v>
      </c>
      <c r="D264" s="10">
        <v>2401107</v>
      </c>
      <c r="E264" s="10" t="s">
        <v>20</v>
      </c>
      <c r="F264" s="10">
        <v>8.72E-2</v>
      </c>
      <c r="G264" s="10">
        <v>0.91279999999999994</v>
      </c>
      <c r="H264" s="10" t="s">
        <v>31</v>
      </c>
      <c r="I264" s="10" t="b">
        <v>0</v>
      </c>
    </row>
    <row r="265" spans="3:9" x14ac:dyDescent="0.3">
      <c r="C265" s="10">
        <v>186</v>
      </c>
      <c r="D265" s="10">
        <v>2303244</v>
      </c>
      <c r="E265" s="10" t="s">
        <v>20</v>
      </c>
      <c r="F265" s="10">
        <v>8.6900000000000005E-2</v>
      </c>
      <c r="G265" s="10">
        <v>0.91310000000000002</v>
      </c>
      <c r="H265" s="10" t="s">
        <v>31</v>
      </c>
      <c r="I265" s="10" t="b">
        <v>0</v>
      </c>
    </row>
    <row r="266" spans="3:9" x14ac:dyDescent="0.3">
      <c r="C266" s="10">
        <v>69</v>
      </c>
      <c r="D266" s="10">
        <v>2401086</v>
      </c>
      <c r="E266" s="10" t="s">
        <v>20</v>
      </c>
      <c r="F266" s="10">
        <v>8.5800000000000001E-2</v>
      </c>
      <c r="G266" s="10">
        <v>0.91420000000000001</v>
      </c>
      <c r="H266" s="10" t="s">
        <v>31</v>
      </c>
      <c r="I266" s="10" t="b">
        <v>0</v>
      </c>
    </row>
    <row r="267" spans="3:9" x14ac:dyDescent="0.3">
      <c r="C267" s="10">
        <v>209</v>
      </c>
      <c r="D267" s="10">
        <v>2303272</v>
      </c>
      <c r="E267" s="10" t="s">
        <v>20</v>
      </c>
      <c r="F267" s="10">
        <v>8.5500000000000007E-2</v>
      </c>
      <c r="G267" s="10">
        <v>0.91449999999999998</v>
      </c>
      <c r="H267" s="10" t="s">
        <v>38</v>
      </c>
      <c r="I267" s="10" t="b">
        <v>0</v>
      </c>
    </row>
    <row r="268" spans="3:9" x14ac:dyDescent="0.3">
      <c r="C268" s="10">
        <v>71</v>
      </c>
      <c r="D268" s="10">
        <v>2401089</v>
      </c>
      <c r="E268" s="10" t="s">
        <v>20</v>
      </c>
      <c r="F268" s="10">
        <v>8.5500000000000007E-2</v>
      </c>
      <c r="G268" s="10">
        <v>0.91449999999999998</v>
      </c>
      <c r="H268" s="10" t="s">
        <v>31</v>
      </c>
      <c r="I268" s="10" t="b">
        <v>0</v>
      </c>
    </row>
    <row r="269" spans="3:9" x14ac:dyDescent="0.3">
      <c r="C269" s="10">
        <v>197</v>
      </c>
      <c r="D269" s="10">
        <v>2303258</v>
      </c>
      <c r="E269" s="10" t="s">
        <v>20</v>
      </c>
      <c r="F269" s="10">
        <v>8.5000000000000006E-2</v>
      </c>
      <c r="G269" s="10">
        <v>0.91500000000000004</v>
      </c>
      <c r="H269" s="10" t="s">
        <v>38</v>
      </c>
      <c r="I269" s="10" t="b">
        <v>0</v>
      </c>
    </row>
    <row r="270" spans="3:9" x14ac:dyDescent="0.3">
      <c r="C270" s="10">
        <v>153</v>
      </c>
      <c r="D270" s="10">
        <v>2303208</v>
      </c>
      <c r="E270" s="10" t="s">
        <v>20</v>
      </c>
      <c r="F270" s="10">
        <v>8.3299999999999999E-2</v>
      </c>
      <c r="G270" s="10">
        <v>0.91669999999999996</v>
      </c>
      <c r="H270" s="10" t="s">
        <v>31</v>
      </c>
      <c r="I270" s="10" t="b">
        <v>0</v>
      </c>
    </row>
    <row r="271" spans="3:9" x14ac:dyDescent="0.3">
      <c r="C271" s="10">
        <v>95</v>
      </c>
      <c r="D271" s="10">
        <v>2303123</v>
      </c>
      <c r="E271" s="10" t="s">
        <v>20</v>
      </c>
      <c r="F271" s="10">
        <v>8.2500000000000004E-2</v>
      </c>
      <c r="G271" s="10">
        <v>0.91749999999999998</v>
      </c>
      <c r="H271" s="10" t="s">
        <v>46</v>
      </c>
      <c r="I271" s="10" t="b">
        <v>0</v>
      </c>
    </row>
    <row r="272" spans="3:9" x14ac:dyDescent="0.3">
      <c r="C272" s="10">
        <v>111</v>
      </c>
      <c r="D272" s="10">
        <v>2401141</v>
      </c>
      <c r="E272" s="10" t="s">
        <v>20</v>
      </c>
      <c r="F272" s="10">
        <v>8.1699999999999995E-2</v>
      </c>
      <c r="G272" s="10">
        <v>0.91830000000000001</v>
      </c>
      <c r="H272" s="10" t="s">
        <v>49</v>
      </c>
      <c r="I272" s="10" t="b">
        <v>0</v>
      </c>
    </row>
    <row r="273" spans="3:9" x14ac:dyDescent="0.3">
      <c r="C273" s="10">
        <v>76</v>
      </c>
      <c r="D273" s="10">
        <v>2401095</v>
      </c>
      <c r="E273" s="10" t="s">
        <v>20</v>
      </c>
      <c r="F273" s="10">
        <v>8.1100000000000005E-2</v>
      </c>
      <c r="G273" s="10">
        <v>0.91890000000000005</v>
      </c>
      <c r="H273" s="10" t="s">
        <v>38</v>
      </c>
      <c r="I273" s="10" t="b">
        <v>0</v>
      </c>
    </row>
    <row r="274" spans="3:9" x14ac:dyDescent="0.3">
      <c r="C274" s="10">
        <v>52</v>
      </c>
      <c r="D274" s="10">
        <v>2401067</v>
      </c>
      <c r="E274" s="10" t="s">
        <v>20</v>
      </c>
      <c r="F274" s="10">
        <v>8.0500000000000002E-2</v>
      </c>
      <c r="G274" s="10">
        <v>0.91949999999999998</v>
      </c>
      <c r="H274" s="10" t="s">
        <v>31</v>
      </c>
      <c r="I274" s="10" t="b">
        <v>0</v>
      </c>
    </row>
    <row r="275" spans="3:9" x14ac:dyDescent="0.3">
      <c r="C275" s="10">
        <v>4</v>
      </c>
      <c r="D275" s="10">
        <v>2303005</v>
      </c>
      <c r="E275" s="10" t="s">
        <v>20</v>
      </c>
      <c r="F275" s="10">
        <v>7.9600000000000004E-2</v>
      </c>
      <c r="G275" s="10">
        <v>0.9204</v>
      </c>
      <c r="H275" s="10" t="s">
        <v>31</v>
      </c>
      <c r="I275" s="10" t="b">
        <v>0</v>
      </c>
    </row>
    <row r="276" spans="3:9" x14ac:dyDescent="0.3">
      <c r="C276" s="10">
        <v>112</v>
      </c>
      <c r="D276" s="10">
        <v>2401142</v>
      </c>
      <c r="E276" s="10" t="s">
        <v>20</v>
      </c>
      <c r="F276" s="10">
        <v>7.9600000000000004E-2</v>
      </c>
      <c r="G276" s="10">
        <v>0.9204</v>
      </c>
      <c r="H276" s="10" t="s">
        <v>31</v>
      </c>
      <c r="I276" s="10" t="b">
        <v>0</v>
      </c>
    </row>
    <row r="277" spans="3:9" x14ac:dyDescent="0.3">
      <c r="C277" s="10">
        <v>175</v>
      </c>
      <c r="D277" s="10">
        <v>2303232</v>
      </c>
      <c r="E277" s="10" t="s">
        <v>20</v>
      </c>
      <c r="F277" s="10">
        <v>7.9100000000000004E-2</v>
      </c>
      <c r="G277" s="10">
        <v>0.92090000000000005</v>
      </c>
      <c r="H277" s="10" t="s">
        <v>31</v>
      </c>
      <c r="I277" s="10" t="b">
        <v>0</v>
      </c>
    </row>
    <row r="278" spans="3:9" x14ac:dyDescent="0.3">
      <c r="C278" s="10">
        <v>55</v>
      </c>
      <c r="D278" s="10">
        <v>2303066</v>
      </c>
      <c r="E278" s="10" t="s">
        <v>20</v>
      </c>
      <c r="F278" s="10">
        <v>7.8899999999999998E-2</v>
      </c>
      <c r="G278" s="10">
        <v>0.92110000000000003</v>
      </c>
      <c r="H278" s="10" t="s">
        <v>31</v>
      </c>
      <c r="I278" s="10" t="b">
        <v>0</v>
      </c>
    </row>
    <row r="279" spans="3:9" x14ac:dyDescent="0.3">
      <c r="C279" s="10">
        <v>168</v>
      </c>
      <c r="D279" s="10">
        <v>2303225</v>
      </c>
      <c r="E279" s="10" t="s">
        <v>20</v>
      </c>
      <c r="F279" s="10">
        <v>7.8899999999999998E-2</v>
      </c>
      <c r="G279" s="10">
        <v>0.92110000000000003</v>
      </c>
      <c r="H279" s="10" t="s">
        <v>31</v>
      </c>
      <c r="I279" s="10" t="b">
        <v>0</v>
      </c>
    </row>
    <row r="280" spans="3:9" x14ac:dyDescent="0.3">
      <c r="C280" s="10">
        <v>184</v>
      </c>
      <c r="D280" s="10">
        <v>2303242</v>
      </c>
      <c r="E280" s="10" t="s">
        <v>20</v>
      </c>
      <c r="F280" s="10">
        <v>7.8899999999999998E-2</v>
      </c>
      <c r="G280" s="10">
        <v>0.92110000000000003</v>
      </c>
      <c r="H280" s="10" t="s">
        <v>38</v>
      </c>
      <c r="I280" s="10" t="b">
        <v>0</v>
      </c>
    </row>
    <row r="281" spans="3:9" x14ac:dyDescent="0.3">
      <c r="C281" s="10">
        <v>59</v>
      </c>
      <c r="D281" s="10">
        <v>2401075</v>
      </c>
      <c r="E281" s="10" t="s">
        <v>20</v>
      </c>
      <c r="F281" s="10">
        <v>7.8899999999999998E-2</v>
      </c>
      <c r="G281" s="10">
        <v>0.92110000000000003</v>
      </c>
      <c r="H281" s="10" t="s">
        <v>33</v>
      </c>
      <c r="I281" s="10" t="b">
        <v>0</v>
      </c>
    </row>
    <row r="282" spans="3:9" x14ac:dyDescent="0.3">
      <c r="C282" s="10">
        <v>11</v>
      </c>
      <c r="D282" s="10">
        <v>2303014</v>
      </c>
      <c r="E282" s="10" t="s">
        <v>20</v>
      </c>
      <c r="F282" s="10">
        <v>7.8799999999999995E-2</v>
      </c>
      <c r="G282" s="10">
        <v>0.92120000000000002</v>
      </c>
      <c r="H282" s="10" t="s">
        <v>31</v>
      </c>
      <c r="I282" s="10" t="b">
        <v>0</v>
      </c>
    </row>
    <row r="283" spans="3:9" x14ac:dyDescent="0.3">
      <c r="C283" s="10">
        <v>141</v>
      </c>
      <c r="D283" s="10">
        <v>2303189</v>
      </c>
      <c r="E283" s="10" t="s">
        <v>20</v>
      </c>
      <c r="F283" s="10">
        <v>7.8399999999999997E-2</v>
      </c>
      <c r="G283" s="10">
        <v>0.92159999999999997</v>
      </c>
      <c r="H283" s="10" t="s">
        <v>38</v>
      </c>
      <c r="I283" s="10" t="b">
        <v>0</v>
      </c>
    </row>
    <row r="284" spans="3:9" x14ac:dyDescent="0.3">
      <c r="C284" s="10">
        <v>108</v>
      </c>
      <c r="D284" s="10">
        <v>2303142</v>
      </c>
      <c r="E284" s="10" t="s">
        <v>20</v>
      </c>
      <c r="F284" s="10">
        <v>7.8E-2</v>
      </c>
      <c r="G284" s="10">
        <v>0.92200000000000004</v>
      </c>
      <c r="H284" s="10" t="s">
        <v>31</v>
      </c>
      <c r="I284" s="10" t="b">
        <v>0</v>
      </c>
    </row>
    <row r="285" spans="3:9" x14ac:dyDescent="0.3">
      <c r="C285" s="10">
        <v>114</v>
      </c>
      <c r="D285" s="10">
        <v>2303150</v>
      </c>
      <c r="E285" s="10" t="s">
        <v>20</v>
      </c>
      <c r="F285" s="10">
        <v>7.8E-2</v>
      </c>
      <c r="G285" s="10">
        <v>0.92200000000000004</v>
      </c>
      <c r="H285" s="10" t="s">
        <v>31</v>
      </c>
      <c r="I285" s="10" t="b">
        <v>0</v>
      </c>
    </row>
    <row r="286" spans="3:9" x14ac:dyDescent="0.3">
      <c r="C286" s="10">
        <v>89</v>
      </c>
      <c r="D286" s="10">
        <v>2401113</v>
      </c>
      <c r="E286" s="10" t="s">
        <v>20</v>
      </c>
      <c r="F286" s="10">
        <v>7.7600000000000002E-2</v>
      </c>
      <c r="G286" s="10">
        <v>0.9224</v>
      </c>
      <c r="H286" s="10" t="s">
        <v>31</v>
      </c>
      <c r="I286" s="10" t="b">
        <v>0</v>
      </c>
    </row>
    <row r="287" spans="3:9" x14ac:dyDescent="0.3">
      <c r="C287" s="10">
        <v>295</v>
      </c>
      <c r="D287" s="10">
        <v>2303374</v>
      </c>
      <c r="E287" s="10" t="s">
        <v>20</v>
      </c>
      <c r="F287" s="10">
        <v>7.7399999999999997E-2</v>
      </c>
      <c r="G287" s="10">
        <v>0.92259999999999998</v>
      </c>
      <c r="H287" s="10" t="s">
        <v>52</v>
      </c>
      <c r="I287" s="10" t="b">
        <v>0</v>
      </c>
    </row>
    <row r="288" spans="3:9" x14ac:dyDescent="0.3">
      <c r="C288" s="10">
        <v>43</v>
      </c>
      <c r="D288" s="10">
        <v>2303052</v>
      </c>
      <c r="E288" s="10" t="s">
        <v>20</v>
      </c>
      <c r="F288" s="10">
        <v>7.6200000000000004E-2</v>
      </c>
      <c r="G288" s="10">
        <v>0.92379999999999995</v>
      </c>
      <c r="H288" s="10" t="s">
        <v>31</v>
      </c>
      <c r="I288" s="10" t="b">
        <v>0</v>
      </c>
    </row>
    <row r="289" spans="3:9" x14ac:dyDescent="0.3">
      <c r="C289" s="10">
        <v>130</v>
      </c>
      <c r="D289" s="10">
        <v>2303171</v>
      </c>
      <c r="E289" s="10" t="s">
        <v>20</v>
      </c>
      <c r="F289" s="10">
        <v>7.5899999999999995E-2</v>
      </c>
      <c r="G289" s="10">
        <v>0.92410000000000003</v>
      </c>
      <c r="H289" s="10" t="s">
        <v>31</v>
      </c>
      <c r="I289" s="10" t="b">
        <v>0</v>
      </c>
    </row>
    <row r="290" spans="3:9" x14ac:dyDescent="0.3">
      <c r="C290" s="10">
        <v>210</v>
      </c>
      <c r="D290" s="10">
        <v>2303273</v>
      </c>
      <c r="E290" s="10" t="s">
        <v>20</v>
      </c>
      <c r="F290" s="10">
        <v>7.5600000000000001E-2</v>
      </c>
      <c r="G290" s="10">
        <v>0.9244</v>
      </c>
      <c r="H290" s="10" t="s">
        <v>38</v>
      </c>
      <c r="I290" s="10" t="b">
        <v>0</v>
      </c>
    </row>
    <row r="291" spans="3:9" x14ac:dyDescent="0.3">
      <c r="C291" s="10">
        <v>77</v>
      </c>
      <c r="D291" s="10">
        <v>2401097</v>
      </c>
      <c r="E291" s="10" t="s">
        <v>20</v>
      </c>
      <c r="F291" s="10">
        <v>7.5399999999999995E-2</v>
      </c>
      <c r="G291" s="10">
        <v>0.92459999999999998</v>
      </c>
      <c r="H291" s="10" t="s">
        <v>38</v>
      </c>
      <c r="I291" s="10" t="b">
        <v>0</v>
      </c>
    </row>
    <row r="292" spans="3:9" x14ac:dyDescent="0.3">
      <c r="C292" s="10">
        <v>61</v>
      </c>
      <c r="D292" s="10">
        <v>2303075</v>
      </c>
      <c r="E292" s="10" t="s">
        <v>20</v>
      </c>
      <c r="F292" s="10">
        <v>7.46E-2</v>
      </c>
      <c r="G292" s="10">
        <v>0.9254</v>
      </c>
      <c r="H292" s="10" t="s">
        <v>38</v>
      </c>
      <c r="I292" s="10" t="b">
        <v>0</v>
      </c>
    </row>
    <row r="293" spans="3:9" x14ac:dyDescent="0.3">
      <c r="C293" s="10">
        <v>50</v>
      </c>
      <c r="D293" s="10">
        <v>2401065</v>
      </c>
      <c r="E293" s="10" t="s">
        <v>20</v>
      </c>
      <c r="F293" s="10">
        <v>7.3899999999999993E-2</v>
      </c>
      <c r="G293" s="10">
        <v>0.92610000000000003</v>
      </c>
      <c r="H293" s="10" t="s">
        <v>28</v>
      </c>
      <c r="I293" s="10" t="b">
        <v>0</v>
      </c>
    </row>
    <row r="294" spans="3:9" x14ac:dyDescent="0.3">
      <c r="C294" s="10">
        <v>46</v>
      </c>
      <c r="D294" s="10">
        <v>2401060</v>
      </c>
      <c r="E294" s="10" t="s">
        <v>20</v>
      </c>
      <c r="F294" s="10">
        <v>7.3099999999999998E-2</v>
      </c>
      <c r="G294" s="10">
        <v>0.92689999999999995</v>
      </c>
      <c r="H294" s="10" t="s">
        <v>38</v>
      </c>
      <c r="I294" s="10" t="b">
        <v>0</v>
      </c>
    </row>
    <row r="295" spans="3:9" x14ac:dyDescent="0.3">
      <c r="C295" s="10">
        <v>92</v>
      </c>
      <c r="D295" s="10">
        <v>2401119</v>
      </c>
      <c r="E295" s="10" t="s">
        <v>20</v>
      </c>
      <c r="F295" s="10">
        <v>7.2999999999999995E-2</v>
      </c>
      <c r="G295" s="10">
        <v>0.92700000000000005</v>
      </c>
      <c r="H295" s="10" t="s">
        <v>31</v>
      </c>
      <c r="I295" s="10" t="b">
        <v>0</v>
      </c>
    </row>
    <row r="296" spans="3:9" x14ac:dyDescent="0.3">
      <c r="C296" s="10">
        <v>10</v>
      </c>
      <c r="D296" s="10">
        <v>2401016</v>
      </c>
      <c r="E296" s="10" t="s">
        <v>20</v>
      </c>
      <c r="F296" s="10">
        <v>7.0999999999999994E-2</v>
      </c>
      <c r="G296" s="10">
        <v>0.92900000000000005</v>
      </c>
      <c r="H296" s="10" t="s">
        <v>31</v>
      </c>
      <c r="I296" s="10" t="b">
        <v>0</v>
      </c>
    </row>
    <row r="297" spans="3:9" x14ac:dyDescent="0.3">
      <c r="C297" s="10">
        <v>297</v>
      </c>
      <c r="D297" s="10">
        <v>2303377</v>
      </c>
      <c r="E297" s="10" t="s">
        <v>20</v>
      </c>
      <c r="F297" s="10">
        <v>6.9500000000000006E-2</v>
      </c>
      <c r="G297" s="10">
        <v>0.93049999999999999</v>
      </c>
      <c r="H297" s="10" t="s">
        <v>38</v>
      </c>
      <c r="I297" s="10" t="b">
        <v>0</v>
      </c>
    </row>
    <row r="298" spans="3:9" x14ac:dyDescent="0.3">
      <c r="C298" s="10">
        <v>29</v>
      </c>
      <c r="D298" s="10">
        <v>2401042</v>
      </c>
      <c r="E298" s="10" t="s">
        <v>20</v>
      </c>
      <c r="F298" s="10">
        <v>6.8699999999999997E-2</v>
      </c>
      <c r="G298" s="10">
        <v>0.93130000000000002</v>
      </c>
      <c r="H298" s="10" t="s">
        <v>47</v>
      </c>
      <c r="I298" s="10" t="b">
        <v>0</v>
      </c>
    </row>
    <row r="299" spans="3:9" x14ac:dyDescent="0.3">
      <c r="C299" s="10">
        <v>18</v>
      </c>
      <c r="D299" s="10">
        <v>2303023</v>
      </c>
      <c r="E299" s="10" t="s">
        <v>20</v>
      </c>
      <c r="F299" s="10">
        <v>6.8000000000000005E-2</v>
      </c>
      <c r="G299" s="10">
        <v>0.93200000000000005</v>
      </c>
      <c r="H299" s="10" t="s">
        <v>31</v>
      </c>
      <c r="I299" s="10" t="b">
        <v>0</v>
      </c>
    </row>
    <row r="300" spans="3:9" x14ac:dyDescent="0.3">
      <c r="C300" s="10">
        <v>112</v>
      </c>
      <c r="D300" s="10">
        <v>2303147</v>
      </c>
      <c r="E300" s="10" t="s">
        <v>20</v>
      </c>
      <c r="F300" s="10">
        <v>6.7299999999999999E-2</v>
      </c>
      <c r="G300" s="10">
        <v>0.93269999999999997</v>
      </c>
      <c r="H300" s="10" t="s">
        <v>38</v>
      </c>
      <c r="I300" s="10" t="b">
        <v>0</v>
      </c>
    </row>
    <row r="301" spans="3:9" x14ac:dyDescent="0.3">
      <c r="C301" s="10">
        <v>45</v>
      </c>
      <c r="D301" s="10">
        <v>2401059</v>
      </c>
      <c r="E301" s="10" t="s">
        <v>20</v>
      </c>
      <c r="F301" s="10">
        <v>6.6299999999999998E-2</v>
      </c>
      <c r="G301" s="10">
        <v>0.93369999999999997</v>
      </c>
      <c r="H301" s="10" t="s">
        <v>31</v>
      </c>
      <c r="I301" s="10" t="b">
        <v>0</v>
      </c>
    </row>
    <row r="302" spans="3:9" x14ac:dyDescent="0.3">
      <c r="C302" s="10">
        <v>271</v>
      </c>
      <c r="D302" s="10">
        <v>2303349</v>
      </c>
      <c r="E302" s="10" t="s">
        <v>20</v>
      </c>
      <c r="F302" s="10">
        <v>6.5799999999999997E-2</v>
      </c>
      <c r="G302" s="10">
        <v>0.93420000000000003</v>
      </c>
      <c r="H302" s="10" t="s">
        <v>31</v>
      </c>
      <c r="I302" s="10" t="b">
        <v>0</v>
      </c>
    </row>
    <row r="303" spans="3:9" x14ac:dyDescent="0.3">
      <c r="C303" s="10">
        <v>29</v>
      </c>
      <c r="D303" s="10">
        <v>2303038</v>
      </c>
      <c r="E303" s="10" t="s">
        <v>20</v>
      </c>
      <c r="F303" s="10">
        <v>6.5299999999999997E-2</v>
      </c>
      <c r="G303" s="10">
        <v>0.93469999999999998</v>
      </c>
      <c r="H303" s="10" t="s">
        <v>31</v>
      </c>
      <c r="I303" s="10" t="b">
        <v>0</v>
      </c>
    </row>
    <row r="304" spans="3:9" x14ac:dyDescent="0.3">
      <c r="C304" s="10">
        <v>107</v>
      </c>
      <c r="D304" s="10">
        <v>2401136</v>
      </c>
      <c r="E304" s="10" t="s">
        <v>20</v>
      </c>
      <c r="F304" s="10">
        <v>6.4199999999999993E-2</v>
      </c>
      <c r="G304" s="10">
        <v>0.93579999999999997</v>
      </c>
      <c r="H304" s="10" t="s">
        <v>45</v>
      </c>
      <c r="I304" s="10" t="b">
        <v>0</v>
      </c>
    </row>
    <row r="305" spans="3:9" x14ac:dyDescent="0.3">
      <c r="C305" s="10">
        <v>80</v>
      </c>
      <c r="D305" s="10">
        <v>2303101</v>
      </c>
      <c r="E305" s="10" t="s">
        <v>20</v>
      </c>
      <c r="F305" s="10">
        <v>6.3799999999999996E-2</v>
      </c>
      <c r="G305" s="10">
        <v>0.93620000000000003</v>
      </c>
      <c r="H305" s="10" t="s">
        <v>38</v>
      </c>
      <c r="I305" s="10" t="b">
        <v>0</v>
      </c>
    </row>
    <row r="306" spans="3:9" x14ac:dyDescent="0.3">
      <c r="C306" s="10">
        <v>58</v>
      </c>
      <c r="D306" s="10">
        <v>2303069</v>
      </c>
      <c r="E306" s="10" t="s">
        <v>20</v>
      </c>
      <c r="F306" s="10">
        <v>6.2700000000000006E-2</v>
      </c>
      <c r="G306" s="10">
        <v>0.93730000000000002</v>
      </c>
      <c r="H306" s="10" t="s">
        <v>38</v>
      </c>
      <c r="I306" s="10" t="b">
        <v>0</v>
      </c>
    </row>
    <row r="307" spans="3:9" x14ac:dyDescent="0.3">
      <c r="C307" s="10">
        <v>157</v>
      </c>
      <c r="D307" s="10">
        <v>2303212</v>
      </c>
      <c r="E307" s="10" t="s">
        <v>20</v>
      </c>
      <c r="F307" s="10">
        <v>6.1899999999999997E-2</v>
      </c>
      <c r="G307" s="10">
        <v>0.93810000000000004</v>
      </c>
      <c r="H307" s="10" t="s">
        <v>31</v>
      </c>
      <c r="I307" s="10" t="b">
        <v>0</v>
      </c>
    </row>
    <row r="308" spans="3:9" x14ac:dyDescent="0.3">
      <c r="C308" s="10">
        <v>21</v>
      </c>
      <c r="D308" s="10">
        <v>2303027</v>
      </c>
      <c r="E308" s="10" t="s">
        <v>20</v>
      </c>
      <c r="F308" s="10">
        <v>6.0900000000000003E-2</v>
      </c>
      <c r="G308" s="10">
        <v>0.93910000000000005</v>
      </c>
      <c r="H308" s="10" t="s">
        <v>31</v>
      </c>
      <c r="I308" s="10" t="b">
        <v>0</v>
      </c>
    </row>
    <row r="309" spans="3:9" x14ac:dyDescent="0.3">
      <c r="C309" s="10">
        <v>176</v>
      </c>
      <c r="D309" s="10">
        <v>2303233</v>
      </c>
      <c r="E309" s="10" t="s">
        <v>20</v>
      </c>
      <c r="F309" s="10">
        <v>6.0299999999999999E-2</v>
      </c>
      <c r="G309" s="10">
        <v>0.93969999999999998</v>
      </c>
      <c r="H309" s="10" t="s">
        <v>45</v>
      </c>
      <c r="I309" s="10" t="b">
        <v>0</v>
      </c>
    </row>
    <row r="310" spans="3:9" x14ac:dyDescent="0.3">
      <c r="C310" s="10">
        <v>61</v>
      </c>
      <c r="D310" s="10">
        <v>2401077</v>
      </c>
      <c r="E310" s="10" t="s">
        <v>20</v>
      </c>
      <c r="F310" s="10">
        <v>5.9799999999999999E-2</v>
      </c>
      <c r="G310" s="10">
        <v>0.94020000000000004</v>
      </c>
      <c r="H310" s="10" t="s">
        <v>52</v>
      </c>
      <c r="I310" s="10" t="b">
        <v>0</v>
      </c>
    </row>
    <row r="311" spans="3:9" x14ac:dyDescent="0.3">
      <c r="C311" s="10">
        <v>96</v>
      </c>
      <c r="D311" s="10">
        <v>2303124</v>
      </c>
      <c r="E311" s="10" t="s">
        <v>20</v>
      </c>
      <c r="F311" s="10">
        <v>5.96E-2</v>
      </c>
      <c r="G311" s="10">
        <v>0.94040000000000001</v>
      </c>
      <c r="H311" s="10" t="s">
        <v>38</v>
      </c>
      <c r="I311" s="10" t="b">
        <v>0</v>
      </c>
    </row>
    <row r="312" spans="3:9" x14ac:dyDescent="0.3">
      <c r="C312" s="10">
        <v>82</v>
      </c>
      <c r="D312" s="10">
        <v>2303108</v>
      </c>
      <c r="E312" s="10" t="s">
        <v>20</v>
      </c>
      <c r="F312" s="10">
        <v>5.91E-2</v>
      </c>
      <c r="G312" s="10">
        <v>0.94089999999999996</v>
      </c>
      <c r="H312" s="10" t="s">
        <v>38</v>
      </c>
      <c r="I312" s="10" t="b">
        <v>0</v>
      </c>
    </row>
    <row r="313" spans="3:9" x14ac:dyDescent="0.3">
      <c r="C313" s="10">
        <v>122</v>
      </c>
      <c r="D313" s="10">
        <v>2303161</v>
      </c>
      <c r="E313" s="10" t="s">
        <v>20</v>
      </c>
      <c r="F313" s="10">
        <v>5.8799999999999998E-2</v>
      </c>
      <c r="G313" s="10">
        <v>0.94120000000000004</v>
      </c>
      <c r="H313" s="10" t="s">
        <v>38</v>
      </c>
      <c r="I313" s="10" t="b">
        <v>0</v>
      </c>
    </row>
    <row r="314" spans="3:9" x14ac:dyDescent="0.3">
      <c r="C314" s="10">
        <v>90</v>
      </c>
      <c r="D314" s="10">
        <v>2303116</v>
      </c>
      <c r="E314" s="10" t="s">
        <v>20</v>
      </c>
      <c r="F314" s="10">
        <v>5.8400000000000001E-2</v>
      </c>
      <c r="G314" s="10">
        <v>0.94159999999999999</v>
      </c>
      <c r="H314" s="10" t="s">
        <v>38</v>
      </c>
      <c r="I314" s="10" t="b">
        <v>0</v>
      </c>
    </row>
    <row r="315" spans="3:9" x14ac:dyDescent="0.3">
      <c r="C315" s="10">
        <v>12</v>
      </c>
      <c r="D315" s="10">
        <v>2303015</v>
      </c>
      <c r="E315" s="10" t="s">
        <v>20</v>
      </c>
      <c r="F315" s="10">
        <v>5.7700000000000001E-2</v>
      </c>
      <c r="G315" s="10">
        <v>0.94230000000000003</v>
      </c>
      <c r="H315" s="10" t="s">
        <v>38</v>
      </c>
      <c r="I315" s="10" t="b">
        <v>0</v>
      </c>
    </row>
    <row r="316" spans="3:9" x14ac:dyDescent="0.3">
      <c r="C316" s="10">
        <v>34</v>
      </c>
      <c r="D316" s="10">
        <v>2303043</v>
      </c>
      <c r="E316" s="10" t="s">
        <v>20</v>
      </c>
      <c r="F316" s="10">
        <v>5.6899999999999999E-2</v>
      </c>
      <c r="G316" s="10">
        <v>0.94310000000000005</v>
      </c>
      <c r="H316" s="10" t="s">
        <v>33</v>
      </c>
      <c r="I316" s="10" t="b">
        <v>0</v>
      </c>
    </row>
    <row r="317" spans="3:9" x14ac:dyDescent="0.3">
      <c r="C317" s="10">
        <v>128</v>
      </c>
      <c r="D317" s="10">
        <v>2303169</v>
      </c>
      <c r="E317" s="10" t="s">
        <v>20</v>
      </c>
      <c r="F317" s="10">
        <v>5.67E-2</v>
      </c>
      <c r="G317" s="10">
        <v>0.94330000000000003</v>
      </c>
      <c r="H317" s="10" t="s">
        <v>38</v>
      </c>
      <c r="I317" s="10" t="b">
        <v>0</v>
      </c>
    </row>
    <row r="318" spans="3:9" x14ac:dyDescent="0.3">
      <c r="C318" s="10">
        <v>75</v>
      </c>
      <c r="D318" s="10">
        <v>2401094</v>
      </c>
      <c r="E318" s="10" t="s">
        <v>20</v>
      </c>
      <c r="F318" s="10">
        <v>5.5800000000000002E-2</v>
      </c>
      <c r="G318" s="10">
        <v>0.94420000000000004</v>
      </c>
      <c r="H318" s="10" t="s">
        <v>31</v>
      </c>
      <c r="I318" s="10" t="b">
        <v>0</v>
      </c>
    </row>
    <row r="319" spans="3:9" x14ac:dyDescent="0.3">
      <c r="C319" s="10">
        <v>113</v>
      </c>
      <c r="D319" s="10">
        <v>2401143</v>
      </c>
      <c r="E319" s="10" t="s">
        <v>20</v>
      </c>
      <c r="F319" s="10">
        <v>5.5300000000000002E-2</v>
      </c>
      <c r="G319" s="10">
        <v>0.94469999999999998</v>
      </c>
      <c r="H319" s="10" t="s">
        <v>51</v>
      </c>
      <c r="I319" s="10" t="b">
        <v>0</v>
      </c>
    </row>
    <row r="320" spans="3:9" x14ac:dyDescent="0.3">
      <c r="C320" s="10">
        <v>99</v>
      </c>
      <c r="D320" s="10">
        <v>2401127</v>
      </c>
      <c r="E320" s="10" t="s">
        <v>20</v>
      </c>
      <c r="F320" s="10">
        <v>5.33E-2</v>
      </c>
      <c r="G320" s="10">
        <v>0.94669999999999999</v>
      </c>
      <c r="H320" s="10" t="s">
        <v>31</v>
      </c>
      <c r="I320" s="10" t="b">
        <v>0</v>
      </c>
    </row>
    <row r="321" spans="3:9" x14ac:dyDescent="0.3">
      <c r="C321" s="10">
        <v>88</v>
      </c>
      <c r="D321" s="10">
        <v>2401112</v>
      </c>
      <c r="E321" s="10" t="s">
        <v>20</v>
      </c>
      <c r="F321" s="10">
        <v>5.28E-2</v>
      </c>
      <c r="G321" s="10">
        <v>0.94720000000000004</v>
      </c>
      <c r="H321" s="10" t="s">
        <v>31</v>
      </c>
      <c r="I321" s="10" t="b">
        <v>0</v>
      </c>
    </row>
    <row r="322" spans="3:9" x14ac:dyDescent="0.3">
      <c r="C322" s="10">
        <v>110</v>
      </c>
      <c r="D322" s="10">
        <v>2401139</v>
      </c>
      <c r="E322" s="10" t="s">
        <v>20</v>
      </c>
      <c r="F322" s="10">
        <v>5.28E-2</v>
      </c>
      <c r="G322" s="10">
        <v>0.94720000000000004</v>
      </c>
      <c r="H322" s="10" t="s">
        <v>38</v>
      </c>
      <c r="I322" s="10" t="b">
        <v>0</v>
      </c>
    </row>
    <row r="323" spans="3:9" x14ac:dyDescent="0.3">
      <c r="C323" s="10">
        <v>198</v>
      </c>
      <c r="D323" s="10">
        <v>2303259</v>
      </c>
      <c r="E323" s="10" t="s">
        <v>20</v>
      </c>
      <c r="F323" s="10">
        <v>5.2699999999999997E-2</v>
      </c>
      <c r="G323" s="10">
        <v>0.94730000000000003</v>
      </c>
      <c r="H323" s="10" t="s">
        <v>38</v>
      </c>
      <c r="I323" s="10" t="b">
        <v>0</v>
      </c>
    </row>
    <row r="324" spans="3:9" x14ac:dyDescent="0.3">
      <c r="C324" s="10">
        <v>25</v>
      </c>
      <c r="D324" s="10">
        <v>2401035</v>
      </c>
      <c r="E324" s="10" t="s">
        <v>20</v>
      </c>
      <c r="F324" s="10">
        <v>5.0999999999999997E-2</v>
      </c>
      <c r="G324" s="10">
        <v>0.94899999999999995</v>
      </c>
      <c r="H324" s="10" t="s">
        <v>38</v>
      </c>
      <c r="I324" s="10" t="b">
        <v>0</v>
      </c>
    </row>
    <row r="325" spans="3:9" x14ac:dyDescent="0.3">
      <c r="C325" s="10">
        <v>222</v>
      </c>
      <c r="D325" s="10">
        <v>2303292</v>
      </c>
      <c r="E325" s="10" t="s">
        <v>20</v>
      </c>
      <c r="F325" s="10">
        <v>5.0900000000000001E-2</v>
      </c>
      <c r="G325" s="10">
        <v>0.94910000000000005</v>
      </c>
      <c r="H325" s="10" t="s">
        <v>38</v>
      </c>
      <c r="I325" s="10" t="b">
        <v>0</v>
      </c>
    </row>
    <row r="326" spans="3:9" x14ac:dyDescent="0.3">
      <c r="C326" s="10">
        <v>63</v>
      </c>
      <c r="D326" s="10">
        <v>2401079</v>
      </c>
      <c r="E326" s="10" t="s">
        <v>20</v>
      </c>
      <c r="F326" s="10">
        <v>5.0599999999999999E-2</v>
      </c>
      <c r="G326" s="10">
        <v>0.94940000000000002</v>
      </c>
      <c r="H326" s="10" t="s">
        <v>31</v>
      </c>
      <c r="I326" s="10" t="b">
        <v>0</v>
      </c>
    </row>
    <row r="327" spans="3:9" x14ac:dyDescent="0.3">
      <c r="C327" s="10">
        <v>286</v>
      </c>
      <c r="D327" s="10">
        <v>2303364</v>
      </c>
      <c r="E327" s="10" t="s">
        <v>20</v>
      </c>
      <c r="F327" s="10">
        <v>5.04E-2</v>
      </c>
      <c r="G327" s="10">
        <v>0.9496</v>
      </c>
      <c r="H327" s="10" t="s">
        <v>31</v>
      </c>
      <c r="I327" s="10" t="b">
        <v>0</v>
      </c>
    </row>
    <row r="328" spans="3:9" x14ac:dyDescent="0.3">
      <c r="C328" s="10">
        <v>1</v>
      </c>
      <c r="D328" s="10">
        <v>2401001</v>
      </c>
      <c r="E328" s="10" t="s">
        <v>20</v>
      </c>
      <c r="F328" s="10">
        <v>4.9599999999999998E-2</v>
      </c>
      <c r="G328" s="10">
        <v>0.95040000000000002</v>
      </c>
      <c r="H328" s="10" t="s">
        <v>31</v>
      </c>
      <c r="I328" s="10" t="b">
        <v>0</v>
      </c>
    </row>
    <row r="329" spans="3:9" x14ac:dyDescent="0.3">
      <c r="C329" s="10">
        <v>285</v>
      </c>
      <c r="D329" s="10">
        <v>2303363</v>
      </c>
      <c r="E329" s="10" t="s">
        <v>20</v>
      </c>
      <c r="F329" s="10">
        <v>4.9500000000000002E-2</v>
      </c>
      <c r="G329" s="10">
        <v>0.95050000000000001</v>
      </c>
      <c r="H329" s="10" t="s">
        <v>38</v>
      </c>
      <c r="I329" s="10" t="b">
        <v>0</v>
      </c>
    </row>
    <row r="330" spans="3:9" x14ac:dyDescent="0.3">
      <c r="C330" s="10">
        <v>64</v>
      </c>
      <c r="D330" s="10">
        <v>2401080</v>
      </c>
      <c r="E330" s="10" t="s">
        <v>20</v>
      </c>
      <c r="F330" s="10">
        <v>4.9500000000000002E-2</v>
      </c>
      <c r="G330" s="10">
        <v>0.95050000000000001</v>
      </c>
      <c r="H330" s="10" t="s">
        <v>53</v>
      </c>
      <c r="I330" s="10" t="b">
        <v>0</v>
      </c>
    </row>
    <row r="331" spans="3:9" x14ac:dyDescent="0.3">
      <c r="C331" s="10">
        <v>181</v>
      </c>
      <c r="D331" s="10">
        <v>2303239</v>
      </c>
      <c r="E331" s="10" t="s">
        <v>20</v>
      </c>
      <c r="F331" s="10">
        <v>4.8500000000000001E-2</v>
      </c>
      <c r="G331" s="10">
        <v>0.95150000000000001</v>
      </c>
      <c r="H331" s="10" t="s">
        <v>38</v>
      </c>
      <c r="I331" s="10" t="b">
        <v>0</v>
      </c>
    </row>
    <row r="332" spans="3:9" x14ac:dyDescent="0.3">
      <c r="C332" s="10">
        <v>20</v>
      </c>
      <c r="D332" s="10">
        <v>2303026</v>
      </c>
      <c r="E332" s="10" t="s">
        <v>20</v>
      </c>
      <c r="F332" s="10">
        <v>4.8300000000000003E-2</v>
      </c>
      <c r="G332" s="10">
        <v>0.95169999999999999</v>
      </c>
      <c r="H332" s="10" t="s">
        <v>28</v>
      </c>
      <c r="I332" s="10" t="b">
        <v>0</v>
      </c>
    </row>
    <row r="333" spans="3:9" x14ac:dyDescent="0.3">
      <c r="C333" s="10">
        <v>11</v>
      </c>
      <c r="D333" s="10">
        <v>2401017</v>
      </c>
      <c r="E333" s="10" t="s">
        <v>20</v>
      </c>
      <c r="F333" s="10">
        <v>4.7699999999999999E-2</v>
      </c>
      <c r="G333" s="10">
        <v>0.95230000000000004</v>
      </c>
      <c r="H333" s="10" t="s">
        <v>31</v>
      </c>
      <c r="I333" s="10" t="b">
        <v>0</v>
      </c>
    </row>
    <row r="334" spans="3:9" x14ac:dyDescent="0.3">
      <c r="C334" s="10">
        <v>76</v>
      </c>
      <c r="D334" s="10">
        <v>2303096</v>
      </c>
      <c r="E334" s="10" t="s">
        <v>20</v>
      </c>
      <c r="F334" s="10">
        <v>4.7100000000000003E-2</v>
      </c>
      <c r="G334" s="10">
        <v>0.95289999999999997</v>
      </c>
      <c r="H334" s="10" t="s">
        <v>38</v>
      </c>
      <c r="I334" s="10" t="b">
        <v>0</v>
      </c>
    </row>
    <row r="335" spans="3:9" x14ac:dyDescent="0.3">
      <c r="C335" s="10">
        <v>14</v>
      </c>
      <c r="D335" s="10">
        <v>2303018</v>
      </c>
      <c r="E335" s="10" t="s">
        <v>20</v>
      </c>
      <c r="F335" s="10">
        <v>4.6199999999999998E-2</v>
      </c>
      <c r="G335" s="10">
        <v>0.95379999999999998</v>
      </c>
      <c r="H335" s="10" t="s">
        <v>38</v>
      </c>
      <c r="I335" s="10" t="b">
        <v>0</v>
      </c>
    </row>
    <row r="336" spans="3:9" x14ac:dyDescent="0.3">
      <c r="C336" s="10">
        <v>75</v>
      </c>
      <c r="D336" s="10">
        <v>2303095</v>
      </c>
      <c r="E336" s="10" t="s">
        <v>20</v>
      </c>
      <c r="F336" s="10">
        <v>4.5600000000000002E-2</v>
      </c>
      <c r="G336" s="10">
        <v>0.95440000000000003</v>
      </c>
      <c r="H336" s="10" t="s">
        <v>38</v>
      </c>
      <c r="I336" s="10" t="b">
        <v>0</v>
      </c>
    </row>
    <row r="337" spans="3:9" x14ac:dyDescent="0.3">
      <c r="C337" s="10">
        <v>246</v>
      </c>
      <c r="D337" s="10">
        <v>2303321</v>
      </c>
      <c r="E337" s="10" t="s">
        <v>20</v>
      </c>
      <c r="F337" s="10">
        <v>4.5100000000000001E-2</v>
      </c>
      <c r="G337" s="10">
        <v>0.95489999999999997</v>
      </c>
      <c r="H337" s="10" t="s">
        <v>38</v>
      </c>
      <c r="I337" s="10" t="b">
        <v>0</v>
      </c>
    </row>
    <row r="338" spans="3:9" x14ac:dyDescent="0.3">
      <c r="C338" s="10">
        <v>48</v>
      </c>
      <c r="D338" s="10">
        <v>2401062</v>
      </c>
      <c r="E338" s="10" t="s">
        <v>20</v>
      </c>
      <c r="F338" s="10">
        <v>4.4499999999999998E-2</v>
      </c>
      <c r="G338" s="10">
        <v>0.95550000000000002</v>
      </c>
      <c r="H338" s="10" t="s">
        <v>26</v>
      </c>
      <c r="I338" s="10" t="b">
        <v>0</v>
      </c>
    </row>
    <row r="339" spans="3:9" x14ac:dyDescent="0.3">
      <c r="C339" s="10">
        <v>98</v>
      </c>
      <c r="D339" s="10">
        <v>2401126</v>
      </c>
      <c r="E339" s="10" t="s">
        <v>20</v>
      </c>
      <c r="F339" s="10">
        <v>4.3900000000000002E-2</v>
      </c>
      <c r="G339" s="10">
        <v>0.95609999999999995</v>
      </c>
      <c r="H339" s="10" t="s">
        <v>31</v>
      </c>
      <c r="I339" s="10" t="b">
        <v>0</v>
      </c>
    </row>
    <row r="340" spans="3:9" x14ac:dyDescent="0.3">
      <c r="C340" s="10">
        <v>103</v>
      </c>
      <c r="D340" s="10">
        <v>2303134</v>
      </c>
      <c r="E340" s="10" t="s">
        <v>20</v>
      </c>
      <c r="F340" s="10">
        <v>4.3400000000000001E-2</v>
      </c>
      <c r="G340" s="10">
        <v>0.95660000000000001</v>
      </c>
      <c r="H340" s="10" t="s">
        <v>38</v>
      </c>
      <c r="I340" s="10" t="b">
        <v>0</v>
      </c>
    </row>
    <row r="341" spans="3:9" x14ac:dyDescent="0.3">
      <c r="C341" s="10">
        <v>5</v>
      </c>
      <c r="D341" s="10">
        <v>2303007</v>
      </c>
      <c r="E341" s="10" t="s">
        <v>20</v>
      </c>
      <c r="F341" s="10">
        <v>4.2999999999999997E-2</v>
      </c>
      <c r="G341" s="10">
        <v>0.95699999999999996</v>
      </c>
      <c r="H341" s="10" t="s">
        <v>28</v>
      </c>
      <c r="I341" s="10" t="b">
        <v>0</v>
      </c>
    </row>
    <row r="342" spans="3:9" x14ac:dyDescent="0.3">
      <c r="C342" s="10">
        <v>166</v>
      </c>
      <c r="D342" s="10">
        <v>2303223</v>
      </c>
      <c r="E342" s="10" t="s">
        <v>20</v>
      </c>
      <c r="F342" s="10">
        <v>4.2799999999999998E-2</v>
      </c>
      <c r="G342" s="10">
        <v>0.95720000000000005</v>
      </c>
      <c r="H342" s="10" t="s">
        <v>38</v>
      </c>
      <c r="I342" s="10" t="b">
        <v>0</v>
      </c>
    </row>
    <row r="343" spans="3:9" x14ac:dyDescent="0.3">
      <c r="C343" s="10">
        <v>15</v>
      </c>
      <c r="D343" s="10">
        <v>2303019</v>
      </c>
      <c r="E343" s="10" t="s">
        <v>20</v>
      </c>
      <c r="F343" s="10">
        <v>4.24E-2</v>
      </c>
      <c r="G343" s="10">
        <v>0.95760000000000001</v>
      </c>
      <c r="H343" s="10" t="s">
        <v>31</v>
      </c>
      <c r="I343" s="10" t="b">
        <v>0</v>
      </c>
    </row>
    <row r="344" spans="3:9" x14ac:dyDescent="0.3">
      <c r="C344" s="10">
        <v>220</v>
      </c>
      <c r="D344" s="10">
        <v>2303288</v>
      </c>
      <c r="E344" s="10" t="s">
        <v>20</v>
      </c>
      <c r="F344" s="10">
        <v>4.2200000000000001E-2</v>
      </c>
      <c r="G344" s="10">
        <v>0.95779999999999998</v>
      </c>
      <c r="H344" s="10" t="s">
        <v>38</v>
      </c>
      <c r="I344" s="10" t="b">
        <v>0</v>
      </c>
    </row>
    <row r="345" spans="3:9" x14ac:dyDescent="0.3">
      <c r="C345" s="10">
        <v>217</v>
      </c>
      <c r="D345" s="10">
        <v>2303283</v>
      </c>
      <c r="E345" s="10" t="s">
        <v>20</v>
      </c>
      <c r="F345" s="10">
        <v>4.1700000000000001E-2</v>
      </c>
      <c r="G345" s="10">
        <v>0.95830000000000004</v>
      </c>
      <c r="H345" s="10" t="s">
        <v>38</v>
      </c>
      <c r="I345" s="10" t="b">
        <v>0</v>
      </c>
    </row>
    <row r="346" spans="3:9" x14ac:dyDescent="0.3">
      <c r="C346" s="10">
        <v>7</v>
      </c>
      <c r="D346" s="10">
        <v>2303009</v>
      </c>
      <c r="E346" s="10" t="s">
        <v>20</v>
      </c>
      <c r="F346" s="10">
        <v>4.1500000000000002E-2</v>
      </c>
      <c r="G346" s="10">
        <v>0.95850000000000002</v>
      </c>
      <c r="H346" s="10" t="s">
        <v>38</v>
      </c>
      <c r="I346" s="10" t="b">
        <v>0</v>
      </c>
    </row>
    <row r="347" spans="3:9" x14ac:dyDescent="0.3">
      <c r="C347" s="10">
        <v>47</v>
      </c>
      <c r="D347" s="10">
        <v>2401061</v>
      </c>
      <c r="E347" s="10" t="s">
        <v>20</v>
      </c>
      <c r="F347" s="10">
        <v>4.1300000000000003E-2</v>
      </c>
      <c r="G347" s="10">
        <v>0.9587</v>
      </c>
      <c r="H347" s="10" t="s">
        <v>31</v>
      </c>
      <c r="I347" s="10" t="b">
        <v>0</v>
      </c>
    </row>
    <row r="348" spans="3:9" x14ac:dyDescent="0.3">
      <c r="C348" s="10">
        <v>218</v>
      </c>
      <c r="D348" s="10">
        <v>2303286</v>
      </c>
      <c r="E348" s="10" t="s">
        <v>20</v>
      </c>
      <c r="F348" s="10">
        <v>4.1099999999999998E-2</v>
      </c>
      <c r="G348" s="10">
        <v>0.95889999999999997</v>
      </c>
      <c r="H348" s="10" t="s">
        <v>31</v>
      </c>
      <c r="I348" s="10" t="b">
        <v>0</v>
      </c>
    </row>
    <row r="349" spans="3:9" x14ac:dyDescent="0.3">
      <c r="C349" s="10">
        <v>289</v>
      </c>
      <c r="D349" s="10">
        <v>2303368</v>
      </c>
      <c r="E349" s="10" t="s">
        <v>20</v>
      </c>
      <c r="F349" s="10">
        <v>4.07E-2</v>
      </c>
      <c r="G349" s="10">
        <v>0.95930000000000004</v>
      </c>
      <c r="H349" s="10" t="s">
        <v>38</v>
      </c>
      <c r="I349" s="10" t="b">
        <v>0</v>
      </c>
    </row>
    <row r="350" spans="3:9" x14ac:dyDescent="0.3">
      <c r="C350" s="10">
        <v>91</v>
      </c>
      <c r="D350" s="10">
        <v>2303117</v>
      </c>
      <c r="E350" s="10" t="s">
        <v>20</v>
      </c>
      <c r="F350" s="10">
        <v>3.9399999999999998E-2</v>
      </c>
      <c r="G350" s="10">
        <v>0.96060000000000001</v>
      </c>
      <c r="H350" s="10" t="s">
        <v>38</v>
      </c>
      <c r="I350" s="10" t="b">
        <v>0</v>
      </c>
    </row>
    <row r="351" spans="3:9" x14ac:dyDescent="0.3">
      <c r="C351" s="10">
        <v>79</v>
      </c>
      <c r="D351" s="10">
        <v>2401099</v>
      </c>
      <c r="E351" s="10" t="s">
        <v>20</v>
      </c>
      <c r="F351" s="10">
        <v>3.9300000000000002E-2</v>
      </c>
      <c r="G351" s="10">
        <v>0.9607</v>
      </c>
      <c r="H351" s="10" t="s">
        <v>52</v>
      </c>
      <c r="I351" s="10" t="b">
        <v>0</v>
      </c>
    </row>
    <row r="352" spans="3:9" x14ac:dyDescent="0.3">
      <c r="C352" s="10">
        <v>215</v>
      </c>
      <c r="D352" s="10">
        <v>2303279</v>
      </c>
      <c r="E352" s="10" t="s">
        <v>20</v>
      </c>
      <c r="F352" s="10">
        <v>3.9100000000000003E-2</v>
      </c>
      <c r="G352" s="10">
        <v>0.96089999999999998</v>
      </c>
      <c r="H352" s="10" t="s">
        <v>38</v>
      </c>
      <c r="I352" s="10" t="b">
        <v>0</v>
      </c>
    </row>
    <row r="353" spans="3:9" x14ac:dyDescent="0.3">
      <c r="C353" s="10">
        <v>129</v>
      </c>
      <c r="D353" s="10">
        <v>2303170</v>
      </c>
      <c r="E353" s="10" t="s">
        <v>20</v>
      </c>
      <c r="F353" s="10">
        <v>3.8699999999999998E-2</v>
      </c>
      <c r="G353" s="10">
        <v>0.96130000000000004</v>
      </c>
      <c r="H353" s="10" t="s">
        <v>31</v>
      </c>
      <c r="I353" s="10" t="b">
        <v>0</v>
      </c>
    </row>
    <row r="354" spans="3:9" x14ac:dyDescent="0.3">
      <c r="C354" s="10">
        <v>233</v>
      </c>
      <c r="D354" s="10">
        <v>2303304</v>
      </c>
      <c r="E354" s="10" t="s">
        <v>20</v>
      </c>
      <c r="F354" s="10">
        <v>3.7999999999999999E-2</v>
      </c>
      <c r="G354" s="10">
        <v>0.96199999999999997</v>
      </c>
      <c r="H354" s="10" t="s">
        <v>31</v>
      </c>
      <c r="I354" s="10" t="b">
        <v>0</v>
      </c>
    </row>
    <row r="355" spans="3:9" x14ac:dyDescent="0.3">
      <c r="C355" s="10">
        <v>86</v>
      </c>
      <c r="D355" s="10">
        <v>2303112</v>
      </c>
      <c r="E355" s="10" t="s">
        <v>20</v>
      </c>
      <c r="F355" s="10">
        <v>3.5700000000000003E-2</v>
      </c>
      <c r="G355" s="10">
        <v>0.96430000000000005</v>
      </c>
      <c r="H355" s="10" t="s">
        <v>38</v>
      </c>
      <c r="I355" s="10" t="b">
        <v>0</v>
      </c>
    </row>
    <row r="356" spans="3:9" x14ac:dyDescent="0.3">
      <c r="C356" s="10">
        <v>247</v>
      </c>
      <c r="D356" s="10">
        <v>2303323</v>
      </c>
      <c r="E356" s="10" t="s">
        <v>20</v>
      </c>
      <c r="F356" s="10">
        <v>3.5499999999999997E-2</v>
      </c>
      <c r="G356" s="10">
        <v>0.96450000000000002</v>
      </c>
      <c r="H356" s="10" t="s">
        <v>45</v>
      </c>
      <c r="I356" s="10" t="b">
        <v>0</v>
      </c>
    </row>
    <row r="357" spans="3:9" x14ac:dyDescent="0.3">
      <c r="C357" s="10">
        <v>235</v>
      </c>
      <c r="D357" s="10">
        <v>2303306</v>
      </c>
      <c r="E357" s="10" t="s">
        <v>20</v>
      </c>
      <c r="F357" s="10">
        <v>3.4299999999999997E-2</v>
      </c>
      <c r="G357" s="10">
        <v>0.9657</v>
      </c>
      <c r="H357" s="10" t="s">
        <v>38</v>
      </c>
      <c r="I357" s="10" t="b">
        <v>0</v>
      </c>
    </row>
    <row r="358" spans="3:9" x14ac:dyDescent="0.3">
      <c r="C358" s="10">
        <v>109</v>
      </c>
      <c r="D358" s="10">
        <v>2401138</v>
      </c>
      <c r="E358" s="10" t="s">
        <v>20</v>
      </c>
      <c r="F358" s="10">
        <v>3.3000000000000002E-2</v>
      </c>
      <c r="G358" s="10">
        <v>0.96699999999999997</v>
      </c>
      <c r="H358" s="10" t="s">
        <v>38</v>
      </c>
      <c r="I358" s="10" t="b">
        <v>0</v>
      </c>
    </row>
    <row r="359" spans="3:9" x14ac:dyDescent="0.3">
      <c r="C359" s="10">
        <v>154</v>
      </c>
      <c r="D359" s="10">
        <v>2303209</v>
      </c>
      <c r="E359" s="10" t="s">
        <v>20</v>
      </c>
      <c r="F359" s="10">
        <v>3.27E-2</v>
      </c>
      <c r="G359" s="10">
        <v>0.96730000000000005</v>
      </c>
      <c r="H359" s="10" t="s">
        <v>38</v>
      </c>
      <c r="I359" s="10" t="b">
        <v>0</v>
      </c>
    </row>
    <row r="360" spans="3:9" x14ac:dyDescent="0.3">
      <c r="C360" s="10">
        <v>50</v>
      </c>
      <c r="D360" s="10">
        <v>2303059</v>
      </c>
      <c r="E360" s="10" t="s">
        <v>20</v>
      </c>
      <c r="F360" s="10">
        <v>3.2000000000000001E-2</v>
      </c>
      <c r="G360" s="10">
        <v>0.96799999999999997</v>
      </c>
      <c r="H360" s="10" t="s">
        <v>38</v>
      </c>
      <c r="I360" s="10" t="b">
        <v>0</v>
      </c>
    </row>
    <row r="361" spans="3:9" x14ac:dyDescent="0.3">
      <c r="C361" s="10">
        <v>115</v>
      </c>
      <c r="D361" s="10">
        <v>2303151</v>
      </c>
      <c r="E361" s="10" t="s">
        <v>20</v>
      </c>
      <c r="F361" s="10">
        <v>3.1699999999999999E-2</v>
      </c>
      <c r="G361" s="10">
        <v>0.96830000000000005</v>
      </c>
      <c r="H361" s="10" t="s">
        <v>38</v>
      </c>
      <c r="I361" s="10" t="b">
        <v>0</v>
      </c>
    </row>
    <row r="362" spans="3:9" x14ac:dyDescent="0.3">
      <c r="C362" s="10">
        <v>226</v>
      </c>
      <c r="D362" s="10">
        <v>2303297</v>
      </c>
      <c r="E362" s="10" t="s">
        <v>20</v>
      </c>
      <c r="F362" s="10">
        <v>3.1300000000000001E-2</v>
      </c>
      <c r="G362" s="10">
        <v>0.96870000000000001</v>
      </c>
      <c r="H362" s="10" t="s">
        <v>38</v>
      </c>
      <c r="I362" s="10" t="b">
        <v>0</v>
      </c>
    </row>
    <row r="363" spans="3:9" x14ac:dyDescent="0.3">
      <c r="C363" s="10">
        <v>179</v>
      </c>
      <c r="D363" s="10">
        <v>2303236</v>
      </c>
      <c r="E363" s="10" t="s">
        <v>20</v>
      </c>
      <c r="F363" s="10">
        <v>3.1E-2</v>
      </c>
      <c r="G363" s="10">
        <v>0.96899999999999997</v>
      </c>
      <c r="H363" s="10" t="s">
        <v>38</v>
      </c>
      <c r="I363" s="10" t="b">
        <v>0</v>
      </c>
    </row>
    <row r="364" spans="3:9" x14ac:dyDescent="0.3">
      <c r="C364" s="10">
        <v>49</v>
      </c>
      <c r="D364" s="10">
        <v>2303058</v>
      </c>
      <c r="E364" s="10" t="s">
        <v>20</v>
      </c>
      <c r="F364" s="10">
        <v>3.04E-2</v>
      </c>
      <c r="G364" s="10">
        <v>0.96960000000000002</v>
      </c>
      <c r="H364" s="10" t="s">
        <v>38</v>
      </c>
      <c r="I364" s="10" t="b">
        <v>0</v>
      </c>
    </row>
    <row r="365" spans="3:9" x14ac:dyDescent="0.3">
      <c r="C365" s="10">
        <v>17</v>
      </c>
      <c r="D365" s="10">
        <v>2303022</v>
      </c>
      <c r="E365" s="10" t="s">
        <v>20</v>
      </c>
      <c r="F365" s="10">
        <v>2.98E-2</v>
      </c>
      <c r="G365" s="10">
        <v>0.97019999999999995</v>
      </c>
      <c r="H365" s="10" t="s">
        <v>31</v>
      </c>
      <c r="I365" s="10" t="b">
        <v>0</v>
      </c>
    </row>
    <row r="366" spans="3:9" x14ac:dyDescent="0.3">
      <c r="C366" s="10">
        <v>263</v>
      </c>
      <c r="D366" s="10">
        <v>2303340</v>
      </c>
      <c r="E366" s="10" t="s">
        <v>20</v>
      </c>
      <c r="F366" s="10">
        <v>2.9700000000000001E-2</v>
      </c>
      <c r="G366" s="10">
        <v>0.97030000000000005</v>
      </c>
      <c r="H366" s="10" t="s">
        <v>31</v>
      </c>
      <c r="I366" s="10" t="b">
        <v>0</v>
      </c>
    </row>
    <row r="367" spans="3:9" x14ac:dyDescent="0.3">
      <c r="C367" s="10">
        <v>97</v>
      </c>
      <c r="D367" s="10">
        <v>2401124</v>
      </c>
      <c r="E367" s="10" t="s">
        <v>20</v>
      </c>
      <c r="F367" s="10">
        <v>2.9100000000000001E-2</v>
      </c>
      <c r="G367" s="10">
        <v>0.97089999999999999</v>
      </c>
      <c r="H367" s="10" t="s">
        <v>31</v>
      </c>
      <c r="I367" s="10" t="b">
        <v>0</v>
      </c>
    </row>
    <row r="368" spans="3:9" x14ac:dyDescent="0.3">
      <c r="C368" s="10">
        <v>208</v>
      </c>
      <c r="D368" s="10">
        <v>2303271</v>
      </c>
      <c r="E368" s="10" t="s">
        <v>20</v>
      </c>
      <c r="F368" s="10">
        <v>2.9000000000000001E-2</v>
      </c>
      <c r="G368" s="10">
        <v>0.97099999999999997</v>
      </c>
      <c r="H368" s="10" t="s">
        <v>38</v>
      </c>
      <c r="I368" s="10" t="b">
        <v>0</v>
      </c>
    </row>
    <row r="369" spans="3:9" x14ac:dyDescent="0.3">
      <c r="C369" s="10">
        <v>26</v>
      </c>
      <c r="D369" s="10">
        <v>2401036</v>
      </c>
      <c r="E369" s="10" t="s">
        <v>20</v>
      </c>
      <c r="F369" s="10">
        <v>2.81E-2</v>
      </c>
      <c r="G369" s="10">
        <v>0.97189999999999999</v>
      </c>
      <c r="H369" s="10" t="s">
        <v>46</v>
      </c>
      <c r="I369" s="10" t="b">
        <v>0</v>
      </c>
    </row>
    <row r="370" spans="3:9" x14ac:dyDescent="0.3">
      <c r="C370" s="10">
        <v>119</v>
      </c>
      <c r="D370" s="10">
        <v>2303158</v>
      </c>
      <c r="E370" s="10" t="s">
        <v>20</v>
      </c>
      <c r="F370" s="10">
        <v>2.7199999999999998E-2</v>
      </c>
      <c r="G370" s="10">
        <v>0.9728</v>
      </c>
      <c r="H370" s="10" t="s">
        <v>38</v>
      </c>
      <c r="I370" s="10" t="b">
        <v>0</v>
      </c>
    </row>
    <row r="371" spans="3:9" x14ac:dyDescent="0.3">
      <c r="C371" s="10">
        <v>86</v>
      </c>
      <c r="D371" s="10">
        <v>2401110</v>
      </c>
      <c r="E371" s="10" t="s">
        <v>20</v>
      </c>
      <c r="F371" s="10">
        <v>2.7E-2</v>
      </c>
      <c r="G371" s="10">
        <v>0.97299999999999998</v>
      </c>
      <c r="H371" s="10" t="s">
        <v>38</v>
      </c>
      <c r="I371" s="10" t="b">
        <v>0</v>
      </c>
    </row>
    <row r="372" spans="3:9" x14ac:dyDescent="0.3">
      <c r="C372" s="10">
        <v>66</v>
      </c>
      <c r="D372" s="10">
        <v>2303084</v>
      </c>
      <c r="E372" s="10" t="s">
        <v>20</v>
      </c>
      <c r="F372" s="10">
        <v>2.63E-2</v>
      </c>
      <c r="G372" s="10">
        <v>0.97370000000000001</v>
      </c>
      <c r="H372" s="10" t="s">
        <v>38</v>
      </c>
      <c r="I372" s="10" t="b">
        <v>0</v>
      </c>
    </row>
    <row r="373" spans="3:9" x14ac:dyDescent="0.3">
      <c r="C373" s="10">
        <v>78</v>
      </c>
      <c r="D373" s="10">
        <v>2303099</v>
      </c>
      <c r="E373" s="10" t="s">
        <v>20</v>
      </c>
      <c r="F373" s="10">
        <v>2.6100000000000002E-2</v>
      </c>
      <c r="G373" s="10">
        <v>0.97389999999999999</v>
      </c>
      <c r="H373" s="10" t="s">
        <v>38</v>
      </c>
      <c r="I373" s="10" t="b">
        <v>0</v>
      </c>
    </row>
    <row r="374" spans="3:9" x14ac:dyDescent="0.3">
      <c r="C374" s="10">
        <v>125</v>
      </c>
      <c r="D374" s="10">
        <v>2303166</v>
      </c>
      <c r="E374" s="10" t="s">
        <v>20</v>
      </c>
      <c r="F374" s="10">
        <v>2.5700000000000001E-2</v>
      </c>
      <c r="G374" s="10">
        <v>0.97430000000000005</v>
      </c>
      <c r="H374" s="10" t="s">
        <v>38</v>
      </c>
      <c r="I374" s="10" t="b">
        <v>0</v>
      </c>
    </row>
    <row r="375" spans="3:9" x14ac:dyDescent="0.3">
      <c r="C375" s="10">
        <v>18</v>
      </c>
      <c r="D375" s="10">
        <v>2401024</v>
      </c>
      <c r="E375" s="10" t="s">
        <v>20</v>
      </c>
      <c r="F375" s="10">
        <v>2.5399999999999999E-2</v>
      </c>
      <c r="G375" s="10">
        <v>0.97460000000000002</v>
      </c>
      <c r="H375" s="10" t="s">
        <v>48</v>
      </c>
      <c r="I375" s="10" t="b">
        <v>0</v>
      </c>
    </row>
    <row r="376" spans="3:9" x14ac:dyDescent="0.3">
      <c r="C376" s="10">
        <v>43</v>
      </c>
      <c r="D376" s="10">
        <v>2401057</v>
      </c>
      <c r="E376" s="10" t="s">
        <v>20</v>
      </c>
      <c r="F376" s="10">
        <v>2.24E-2</v>
      </c>
      <c r="G376" s="10">
        <v>0.97760000000000002</v>
      </c>
      <c r="H376" s="10" t="s">
        <v>33</v>
      </c>
      <c r="I376" s="10" t="b">
        <v>0</v>
      </c>
    </row>
    <row r="377" spans="3:9" x14ac:dyDescent="0.3">
      <c r="C377" s="10">
        <v>37</v>
      </c>
      <c r="D377" s="10">
        <v>2401050</v>
      </c>
      <c r="E377" s="10" t="s">
        <v>20</v>
      </c>
      <c r="F377" s="10">
        <v>1.8800000000000001E-2</v>
      </c>
      <c r="G377" s="10">
        <v>0.98119999999999996</v>
      </c>
      <c r="H377" s="10" t="s">
        <v>52</v>
      </c>
      <c r="I377" s="10" t="b">
        <v>0</v>
      </c>
    </row>
    <row r="378" spans="3:9" x14ac:dyDescent="0.3">
      <c r="C378" s="10">
        <v>108</v>
      </c>
      <c r="D378" s="10">
        <v>2401137</v>
      </c>
      <c r="E378" s="10" t="s">
        <v>20</v>
      </c>
      <c r="F378" s="10">
        <v>1.7399999999999999E-2</v>
      </c>
      <c r="G378" s="10">
        <v>0.98260000000000003</v>
      </c>
      <c r="H378" s="10" t="s">
        <v>31</v>
      </c>
      <c r="I378" s="10" t="b">
        <v>0</v>
      </c>
    </row>
    <row r="379" spans="3:9" x14ac:dyDescent="0.3">
      <c r="C379" s="10">
        <v>140</v>
      </c>
      <c r="D379" s="10">
        <v>2303187</v>
      </c>
      <c r="E379" s="10" t="s">
        <v>20</v>
      </c>
      <c r="F379" s="10">
        <v>1.67E-2</v>
      </c>
      <c r="G379" s="10">
        <v>0.98329999999999995</v>
      </c>
      <c r="H379" s="10" t="s">
        <v>38</v>
      </c>
      <c r="I379" s="10" t="b">
        <v>0</v>
      </c>
    </row>
    <row r="380" spans="3:9" x14ac:dyDescent="0.3">
      <c r="C380" s="10">
        <v>207</v>
      </c>
      <c r="D380" s="10">
        <v>2303270</v>
      </c>
      <c r="E380" s="10" t="s">
        <v>20</v>
      </c>
      <c r="F380" s="10">
        <v>1.6400000000000001E-2</v>
      </c>
      <c r="G380" s="10">
        <v>0.98360000000000003</v>
      </c>
      <c r="H380" s="10" t="s">
        <v>38</v>
      </c>
      <c r="I380" s="10" t="b">
        <v>0</v>
      </c>
    </row>
    <row r="381" spans="3:9" x14ac:dyDescent="0.3">
      <c r="C381" s="10">
        <v>250</v>
      </c>
      <c r="D381" s="10">
        <v>2303327</v>
      </c>
      <c r="E381" s="10" t="s">
        <v>20</v>
      </c>
      <c r="F381" s="10">
        <v>1.6E-2</v>
      </c>
      <c r="G381" s="10">
        <v>0.98399999999999999</v>
      </c>
      <c r="H381" s="10" t="s">
        <v>38</v>
      </c>
      <c r="I381" s="10" t="b">
        <v>0</v>
      </c>
    </row>
    <row r="382" spans="3:9" x14ac:dyDescent="0.3">
      <c r="C382" s="10">
        <v>54</v>
      </c>
      <c r="D382" s="10">
        <v>2303065</v>
      </c>
      <c r="E382" s="10" t="s">
        <v>20</v>
      </c>
      <c r="F382" s="10">
        <v>1.55E-2</v>
      </c>
      <c r="G382" s="10">
        <v>0.98450000000000004</v>
      </c>
      <c r="H382" s="10" t="s">
        <v>31</v>
      </c>
      <c r="I382" s="10" t="b">
        <v>0</v>
      </c>
    </row>
    <row r="383" spans="3:9" x14ac:dyDescent="0.3">
      <c r="C383" s="10">
        <v>57</v>
      </c>
      <c r="D383" s="10">
        <v>2303068</v>
      </c>
      <c r="E383" s="10" t="s">
        <v>20</v>
      </c>
      <c r="F383" s="10">
        <v>1.5299999999999999E-2</v>
      </c>
      <c r="G383" s="10">
        <v>0.98470000000000002</v>
      </c>
      <c r="H383" s="10" t="s">
        <v>38</v>
      </c>
      <c r="I383" s="10" t="b">
        <v>0</v>
      </c>
    </row>
    <row r="384" spans="3:9" x14ac:dyDescent="0.3">
      <c r="C384" s="10">
        <v>103</v>
      </c>
      <c r="D384" s="10">
        <v>2401132</v>
      </c>
      <c r="E384" s="10" t="s">
        <v>20</v>
      </c>
      <c r="F384" s="10">
        <v>1.5100000000000001E-2</v>
      </c>
      <c r="G384" s="10">
        <v>0.9849</v>
      </c>
      <c r="H384" s="10" t="s">
        <v>38</v>
      </c>
      <c r="I384" s="10" t="b">
        <v>0</v>
      </c>
    </row>
    <row r="385" spans="3:9" x14ac:dyDescent="0.3">
      <c r="C385" s="10">
        <v>87</v>
      </c>
      <c r="D385" s="10">
        <v>2401111</v>
      </c>
      <c r="E385" s="10" t="s">
        <v>20</v>
      </c>
      <c r="F385" s="10">
        <v>1.41E-2</v>
      </c>
      <c r="G385" s="10">
        <v>0.9859</v>
      </c>
      <c r="H385" s="10" t="s">
        <v>38</v>
      </c>
      <c r="I385" s="10" t="b">
        <v>0</v>
      </c>
    </row>
    <row r="386" spans="3:9" x14ac:dyDescent="0.3">
      <c r="C386" s="10">
        <v>42</v>
      </c>
      <c r="D386" s="10">
        <v>2401056</v>
      </c>
      <c r="E386" s="10" t="s">
        <v>20</v>
      </c>
      <c r="F386" s="10">
        <v>1.3299999999999999E-2</v>
      </c>
      <c r="G386" s="10">
        <v>0.98670000000000002</v>
      </c>
      <c r="H386" s="10" t="s">
        <v>38</v>
      </c>
      <c r="I386" s="10" t="b">
        <v>0</v>
      </c>
    </row>
    <row r="387" spans="3:9" x14ac:dyDescent="0.3">
      <c r="C387" s="10">
        <v>100</v>
      </c>
      <c r="D387" s="10">
        <v>2401128</v>
      </c>
      <c r="E387" s="10" t="s">
        <v>20</v>
      </c>
      <c r="F387" s="10">
        <v>1.24E-2</v>
      </c>
      <c r="G387" s="10">
        <v>0.98760000000000003</v>
      </c>
      <c r="H387" s="10" t="s">
        <v>38</v>
      </c>
      <c r="I387" s="10" t="b">
        <v>0</v>
      </c>
    </row>
    <row r="388" spans="3:9" x14ac:dyDescent="0.3">
      <c r="C388" s="10">
        <v>33</v>
      </c>
      <c r="D388" s="10">
        <v>2401046</v>
      </c>
      <c r="E388" s="10" t="s">
        <v>20</v>
      </c>
      <c r="F388" s="10">
        <v>1.14E-2</v>
      </c>
      <c r="G388" s="10">
        <v>0.98860000000000003</v>
      </c>
      <c r="H388" s="10" t="s">
        <v>38</v>
      </c>
      <c r="I388" s="10" t="b">
        <v>0</v>
      </c>
    </row>
    <row r="389" spans="3:9" x14ac:dyDescent="0.3">
      <c r="C389" s="10">
        <v>81</v>
      </c>
      <c r="D389" s="10">
        <v>2401103</v>
      </c>
      <c r="E389" s="10" t="s">
        <v>20</v>
      </c>
      <c r="F389" s="10">
        <v>1.0800000000000001E-2</v>
      </c>
      <c r="G389" s="10">
        <v>0.98919999999999997</v>
      </c>
      <c r="H389" s="10" t="s">
        <v>38</v>
      </c>
      <c r="I389" s="10" t="b">
        <v>0</v>
      </c>
    </row>
  </sheetData>
  <autoFilter ref="A1:K389" xr:uid="{35E0C934-4F43-40F1-959C-E463084E1474}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5B13-B909-41FF-9DAB-71C5CD4FFAF7}">
  <dimension ref="A1:K123"/>
  <sheetViews>
    <sheetView topLeftCell="A13" zoomScaleNormal="100" workbookViewId="0">
      <selection activeCell="F11" sqref="F11"/>
    </sheetView>
  </sheetViews>
  <sheetFormatPr defaultColWidth="9.109375" defaultRowHeight="14.4" x14ac:dyDescent="0.3"/>
  <cols>
    <col min="1" max="10" width="9.109375" style="10"/>
    <col min="11" max="11" width="59.44140625" style="10" bestFit="1" customWidth="1"/>
    <col min="12" max="16384" width="9.109375" style="10"/>
  </cols>
  <sheetData>
    <row r="1" spans="1:11" s="9" customFormat="1" x14ac:dyDescent="0.3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</row>
    <row r="2" spans="1:11" ht="18" customHeight="1" x14ac:dyDescent="0.35">
      <c r="A2" s="20" t="s">
        <v>24</v>
      </c>
      <c r="B2" s="21"/>
      <c r="C2" s="27">
        <v>16</v>
      </c>
      <c r="D2" s="28">
        <v>2404021</v>
      </c>
      <c r="E2" s="28" t="s">
        <v>19</v>
      </c>
      <c r="F2" s="29">
        <v>0.94550000000000001</v>
      </c>
      <c r="G2" s="28">
        <v>5.45E-2</v>
      </c>
      <c r="H2" s="28" t="s">
        <v>19</v>
      </c>
      <c r="I2" s="28" t="b">
        <v>1</v>
      </c>
    </row>
    <row r="3" spans="1:11" ht="18" customHeight="1" x14ac:dyDescent="0.35">
      <c r="A3" s="20" t="s">
        <v>24</v>
      </c>
      <c r="B3" s="21"/>
      <c r="C3" s="27">
        <v>65</v>
      </c>
      <c r="D3" s="28">
        <v>2404091</v>
      </c>
      <c r="E3" s="28" t="s">
        <v>19</v>
      </c>
      <c r="F3" s="29">
        <v>0.9194</v>
      </c>
      <c r="G3" s="28">
        <v>8.0600000000000005E-2</v>
      </c>
      <c r="H3" s="28" t="s">
        <v>19</v>
      </c>
      <c r="I3" s="28" t="b">
        <v>1</v>
      </c>
    </row>
    <row r="4" spans="1:11" s="13" customFormat="1" ht="18" customHeight="1" x14ac:dyDescent="0.35">
      <c r="A4" s="20" t="s">
        <v>24</v>
      </c>
      <c r="B4" s="23"/>
      <c r="C4" s="30">
        <v>91</v>
      </c>
      <c r="D4" s="14">
        <v>2404128</v>
      </c>
      <c r="E4" s="14" t="s">
        <v>19</v>
      </c>
      <c r="F4" s="31">
        <v>0.90639999999999998</v>
      </c>
      <c r="G4" s="14">
        <v>9.3600000000000003E-2</v>
      </c>
      <c r="H4" s="14" t="s">
        <v>19</v>
      </c>
      <c r="I4" s="14" t="b">
        <v>1</v>
      </c>
    </row>
    <row r="5" spans="1:11" ht="18" customHeight="1" x14ac:dyDescent="0.35">
      <c r="A5" s="87" t="s">
        <v>25</v>
      </c>
      <c r="B5" s="88"/>
      <c r="C5" s="89">
        <v>13</v>
      </c>
      <c r="D5" s="90">
        <v>2404018</v>
      </c>
      <c r="E5" s="89" t="s">
        <v>19</v>
      </c>
      <c r="F5" s="91">
        <v>0.88929999999999998</v>
      </c>
      <c r="G5" s="89">
        <v>0.11070000000000001</v>
      </c>
      <c r="H5" s="89" t="s">
        <v>19</v>
      </c>
      <c r="I5" s="89" t="b">
        <v>0</v>
      </c>
      <c r="J5" s="11" t="s">
        <v>27</v>
      </c>
      <c r="K5" s="89"/>
    </row>
    <row r="6" spans="1:11" ht="18" customHeight="1" x14ac:dyDescent="0.35">
      <c r="A6" s="20" t="s">
        <v>24</v>
      </c>
      <c r="B6" s="21"/>
      <c r="C6" s="27">
        <v>89</v>
      </c>
      <c r="D6" s="28">
        <v>2404126</v>
      </c>
      <c r="E6" s="28" t="s">
        <v>19</v>
      </c>
      <c r="F6" s="29">
        <v>0.86570000000000003</v>
      </c>
      <c r="G6" s="28">
        <v>0.1343</v>
      </c>
      <c r="H6" s="28" t="s">
        <v>19</v>
      </c>
      <c r="I6" s="28" t="b">
        <v>1</v>
      </c>
    </row>
    <row r="7" spans="1:11" s="13" customFormat="1" ht="18" customHeight="1" x14ac:dyDescent="0.35">
      <c r="A7" s="32" t="s">
        <v>25</v>
      </c>
      <c r="B7" s="23"/>
      <c r="C7" s="13">
        <v>50</v>
      </c>
      <c r="D7" s="17">
        <v>2404070</v>
      </c>
      <c r="E7" s="13" t="s">
        <v>19</v>
      </c>
      <c r="F7" s="33">
        <v>0.81430000000000002</v>
      </c>
      <c r="G7" s="13">
        <v>0.1857</v>
      </c>
      <c r="H7" s="13" t="s">
        <v>19</v>
      </c>
      <c r="I7" s="13" t="b">
        <v>1</v>
      </c>
      <c r="J7" s="14" t="s">
        <v>27</v>
      </c>
    </row>
    <row r="8" spans="1:11" ht="18" customHeight="1" x14ac:dyDescent="0.35">
      <c r="A8" s="32" t="s">
        <v>25</v>
      </c>
      <c r="B8" s="21"/>
      <c r="C8" s="10">
        <v>74</v>
      </c>
      <c r="D8" s="12">
        <v>2404105</v>
      </c>
      <c r="E8" s="10" t="s">
        <v>19</v>
      </c>
      <c r="F8" s="9">
        <v>0.76259999999999994</v>
      </c>
      <c r="G8" s="10">
        <v>0.2374</v>
      </c>
      <c r="H8" s="10" t="s">
        <v>19</v>
      </c>
      <c r="I8" s="10" t="b">
        <v>1</v>
      </c>
      <c r="J8" s="28" t="s">
        <v>27</v>
      </c>
    </row>
    <row r="9" spans="1:11" ht="18" customHeight="1" x14ac:dyDescent="0.35">
      <c r="A9" s="32" t="s">
        <v>25</v>
      </c>
      <c r="B9" s="88"/>
      <c r="C9" s="89">
        <v>87</v>
      </c>
      <c r="D9" s="90">
        <v>2404121</v>
      </c>
      <c r="E9" s="89" t="s">
        <v>19</v>
      </c>
      <c r="F9" s="91">
        <v>0.73740000000000006</v>
      </c>
      <c r="G9" s="89">
        <v>0.2626</v>
      </c>
      <c r="H9" s="89" t="s">
        <v>19</v>
      </c>
      <c r="I9" s="89" t="b">
        <v>1</v>
      </c>
      <c r="J9" s="11" t="s">
        <v>27</v>
      </c>
      <c r="K9" s="89"/>
    </row>
    <row r="10" spans="1:11" s="13" customFormat="1" ht="18" x14ac:dyDescent="0.35">
      <c r="A10" s="23"/>
      <c r="B10" s="34" t="s">
        <v>24</v>
      </c>
      <c r="C10" s="13">
        <v>118</v>
      </c>
      <c r="D10" s="13">
        <v>2404160</v>
      </c>
      <c r="E10" s="13" t="s">
        <v>19</v>
      </c>
      <c r="F10" s="33">
        <v>0.71179999999999999</v>
      </c>
      <c r="G10" s="13">
        <v>0.28820000000000001</v>
      </c>
      <c r="H10" s="13" t="s">
        <v>41</v>
      </c>
      <c r="I10" s="13" t="b">
        <v>0</v>
      </c>
      <c r="J10" s="16" t="s">
        <v>29</v>
      </c>
      <c r="K10" s="13" t="s">
        <v>57</v>
      </c>
    </row>
    <row r="11" spans="1:11" s="13" customFormat="1" ht="18" customHeight="1" x14ac:dyDescent="0.35">
      <c r="A11" s="32" t="s">
        <v>25</v>
      </c>
      <c r="B11" s="23"/>
      <c r="C11" s="13">
        <v>38</v>
      </c>
      <c r="D11" s="17">
        <v>2404057</v>
      </c>
      <c r="E11" s="13" t="s">
        <v>19</v>
      </c>
      <c r="F11" s="33">
        <v>0.69099999999999995</v>
      </c>
      <c r="G11" s="13">
        <v>0.309</v>
      </c>
      <c r="H11" s="13" t="s">
        <v>19</v>
      </c>
      <c r="I11" s="13" t="b">
        <v>1</v>
      </c>
      <c r="J11" s="14" t="s">
        <v>27</v>
      </c>
    </row>
    <row r="12" spans="1:11" ht="18" customHeight="1" x14ac:dyDescent="0.35">
      <c r="A12" s="21"/>
      <c r="B12" s="35" t="s">
        <v>24</v>
      </c>
      <c r="C12" s="10">
        <v>110</v>
      </c>
      <c r="D12" s="10">
        <v>2404149</v>
      </c>
      <c r="E12" s="10" t="s">
        <v>19</v>
      </c>
      <c r="F12" s="9">
        <v>0.58440000000000003</v>
      </c>
      <c r="G12" s="10">
        <v>0.41560000000000002</v>
      </c>
      <c r="H12" s="10" t="s">
        <v>41</v>
      </c>
      <c r="I12" s="10" t="b">
        <v>0</v>
      </c>
      <c r="J12" s="36" t="s">
        <v>29</v>
      </c>
      <c r="K12" s="10" t="s">
        <v>58</v>
      </c>
    </row>
    <row r="13" spans="1:11" ht="18" customHeight="1" x14ac:dyDescent="0.35">
      <c r="A13" s="95" t="s">
        <v>24</v>
      </c>
      <c r="B13" s="88"/>
      <c r="C13" s="93">
        <v>9</v>
      </c>
      <c r="D13" s="11">
        <v>2404013</v>
      </c>
      <c r="E13" s="11" t="s">
        <v>19</v>
      </c>
      <c r="F13" s="94">
        <v>0.52080000000000004</v>
      </c>
      <c r="G13" s="11">
        <v>0.47920000000000001</v>
      </c>
      <c r="H13" s="11" t="s">
        <v>19</v>
      </c>
      <c r="I13" s="11" t="b">
        <v>1</v>
      </c>
      <c r="J13" s="89"/>
      <c r="K13" s="89" t="s">
        <v>56</v>
      </c>
    </row>
    <row r="14" spans="1:11" ht="18" x14ac:dyDescent="0.35">
      <c r="A14" s="88"/>
      <c r="B14" s="96" t="s">
        <v>25</v>
      </c>
      <c r="C14" s="89">
        <v>14</v>
      </c>
      <c r="D14" s="89">
        <v>2404019</v>
      </c>
      <c r="E14" s="89" t="s">
        <v>19</v>
      </c>
      <c r="F14" s="91">
        <v>0.51190000000000002</v>
      </c>
      <c r="G14" s="89">
        <v>0.48809999999999998</v>
      </c>
      <c r="H14" s="89" t="s">
        <v>31</v>
      </c>
      <c r="I14" s="89" t="b">
        <v>0</v>
      </c>
      <c r="J14" s="36" t="s">
        <v>29</v>
      </c>
      <c r="K14" s="10" t="s">
        <v>59</v>
      </c>
    </row>
    <row r="15" spans="1:11" ht="18.600000000000001" thickBot="1" x14ac:dyDescent="0.4">
      <c r="A15" s="26"/>
      <c r="B15" s="37" t="s">
        <v>24</v>
      </c>
      <c r="C15" s="18">
        <v>112</v>
      </c>
      <c r="D15" s="18">
        <v>2404151</v>
      </c>
      <c r="E15" s="18" t="s">
        <v>19</v>
      </c>
      <c r="F15" s="38">
        <v>0.50790000000000002</v>
      </c>
      <c r="G15" s="18">
        <v>0.49209999999999998</v>
      </c>
      <c r="H15" s="18" t="s">
        <v>41</v>
      </c>
      <c r="I15" s="18" t="b">
        <v>0</v>
      </c>
      <c r="J15" s="36" t="s">
        <v>29</v>
      </c>
      <c r="K15" s="10" t="s">
        <v>58</v>
      </c>
    </row>
    <row r="16" spans="1:11" x14ac:dyDescent="0.3">
      <c r="C16" s="10">
        <v>78</v>
      </c>
      <c r="D16" s="10">
        <v>2404111</v>
      </c>
      <c r="E16" s="10" t="s">
        <v>20</v>
      </c>
      <c r="F16" s="10">
        <v>0.48470000000000002</v>
      </c>
      <c r="G16" s="10">
        <v>0.51529999999999998</v>
      </c>
      <c r="H16" s="10" t="s">
        <v>31</v>
      </c>
      <c r="I16" s="10" t="b">
        <v>0</v>
      </c>
    </row>
    <row r="17" spans="1:9" ht="14.4" customHeight="1" x14ac:dyDescent="0.3">
      <c r="C17" s="10">
        <v>37</v>
      </c>
      <c r="D17" s="10">
        <v>2404056</v>
      </c>
      <c r="E17" s="10" t="s">
        <v>20</v>
      </c>
      <c r="F17" s="10">
        <v>0.41889999999999999</v>
      </c>
      <c r="G17" s="10">
        <v>0.58109999999999995</v>
      </c>
      <c r="H17" s="10" t="s">
        <v>33</v>
      </c>
      <c r="I17" s="10" t="b">
        <v>0</v>
      </c>
    </row>
    <row r="18" spans="1:9" x14ac:dyDescent="0.3">
      <c r="C18" s="10">
        <v>69</v>
      </c>
      <c r="D18" s="10">
        <v>2404095</v>
      </c>
      <c r="E18" s="10" t="s">
        <v>20</v>
      </c>
      <c r="F18" s="10">
        <v>0.3629</v>
      </c>
      <c r="G18" s="10">
        <v>0.6371</v>
      </c>
      <c r="H18" s="10" t="s">
        <v>28</v>
      </c>
      <c r="I18" s="10" t="b">
        <v>0</v>
      </c>
    </row>
    <row r="19" spans="1:9" x14ac:dyDescent="0.3">
      <c r="C19" s="10">
        <v>76</v>
      </c>
      <c r="D19" s="10">
        <v>2404107</v>
      </c>
      <c r="E19" s="10" t="s">
        <v>20</v>
      </c>
      <c r="F19" s="10">
        <v>0.29630000000000001</v>
      </c>
      <c r="G19" s="10">
        <v>0.70369999999999999</v>
      </c>
      <c r="H19" s="10" t="s">
        <v>47</v>
      </c>
      <c r="I19" s="10" t="b">
        <v>0</v>
      </c>
    </row>
    <row r="20" spans="1:9" x14ac:dyDescent="0.3">
      <c r="C20" s="10">
        <v>102</v>
      </c>
      <c r="D20" s="10">
        <v>2404141</v>
      </c>
      <c r="E20" s="10" t="s">
        <v>20</v>
      </c>
      <c r="F20" s="10">
        <v>0.28839999999999999</v>
      </c>
      <c r="G20" s="10">
        <v>0.71160000000000001</v>
      </c>
      <c r="H20" s="10" t="s">
        <v>53</v>
      </c>
      <c r="I20" s="10" t="b">
        <v>0</v>
      </c>
    </row>
    <row r="21" spans="1:9" x14ac:dyDescent="0.3">
      <c r="A21" s="89"/>
      <c r="C21" s="10">
        <v>8</v>
      </c>
      <c r="D21" s="10">
        <v>2404012</v>
      </c>
      <c r="E21" s="10" t="s">
        <v>20</v>
      </c>
      <c r="F21" s="10">
        <v>0.2868</v>
      </c>
      <c r="G21" s="10">
        <v>0.71319999999999995</v>
      </c>
      <c r="H21" s="10" t="s">
        <v>28</v>
      </c>
      <c r="I21" s="10" t="b">
        <v>0</v>
      </c>
    </row>
    <row r="22" spans="1:9" x14ac:dyDescent="0.3">
      <c r="C22" s="10">
        <v>97</v>
      </c>
      <c r="D22" s="10">
        <v>2404136</v>
      </c>
      <c r="E22" s="10" t="s">
        <v>20</v>
      </c>
      <c r="F22" s="10">
        <v>0.25869999999999999</v>
      </c>
      <c r="G22" s="10">
        <v>0.74129999999999996</v>
      </c>
      <c r="H22" s="10" t="s">
        <v>31</v>
      </c>
      <c r="I22" s="10" t="b">
        <v>0</v>
      </c>
    </row>
    <row r="23" spans="1:9" x14ac:dyDescent="0.3">
      <c r="C23" s="10">
        <v>104</v>
      </c>
      <c r="D23" s="10">
        <v>2404143</v>
      </c>
      <c r="E23" s="10" t="s">
        <v>20</v>
      </c>
      <c r="F23" s="10">
        <v>0.25130000000000002</v>
      </c>
      <c r="G23" s="10">
        <v>0.74870000000000003</v>
      </c>
      <c r="H23" s="10" t="s">
        <v>26</v>
      </c>
      <c r="I23" s="10" t="b">
        <v>0</v>
      </c>
    </row>
    <row r="24" spans="1:9" x14ac:dyDescent="0.3">
      <c r="C24" s="10">
        <v>106</v>
      </c>
      <c r="D24" s="10">
        <v>2404145</v>
      </c>
      <c r="E24" s="10" t="s">
        <v>20</v>
      </c>
      <c r="F24" s="10">
        <v>0.23769999999999999</v>
      </c>
      <c r="G24" s="10">
        <v>0.76229999999999998</v>
      </c>
      <c r="H24" s="10" t="s">
        <v>41</v>
      </c>
      <c r="I24" s="10" t="b">
        <v>0</v>
      </c>
    </row>
    <row r="25" spans="1:9" x14ac:dyDescent="0.3">
      <c r="C25" s="10">
        <v>114</v>
      </c>
      <c r="D25" s="10">
        <v>2404154</v>
      </c>
      <c r="E25" s="10" t="s">
        <v>20</v>
      </c>
      <c r="F25" s="10">
        <v>0.2331</v>
      </c>
      <c r="G25" s="10">
        <v>0.76690000000000003</v>
      </c>
      <c r="H25" s="10" t="s">
        <v>41</v>
      </c>
      <c r="I25" s="10" t="b">
        <v>0</v>
      </c>
    </row>
    <row r="26" spans="1:9" x14ac:dyDescent="0.3">
      <c r="C26" s="10">
        <v>1</v>
      </c>
      <c r="D26" s="10">
        <v>2404001</v>
      </c>
      <c r="E26" s="10" t="s">
        <v>20</v>
      </c>
      <c r="F26" s="10">
        <v>0.2273</v>
      </c>
      <c r="G26" s="10">
        <v>0.77270000000000005</v>
      </c>
      <c r="H26" s="10" t="s">
        <v>41</v>
      </c>
      <c r="I26" s="10" t="b">
        <v>0</v>
      </c>
    </row>
    <row r="27" spans="1:9" x14ac:dyDescent="0.3">
      <c r="C27" s="10">
        <v>39</v>
      </c>
      <c r="D27" s="10">
        <v>2404058</v>
      </c>
      <c r="E27" s="10" t="s">
        <v>20</v>
      </c>
      <c r="F27" s="10">
        <v>0.21460000000000001</v>
      </c>
      <c r="G27" s="10">
        <v>0.78539999999999999</v>
      </c>
      <c r="H27" s="10" t="s">
        <v>55</v>
      </c>
      <c r="I27" s="10" t="b">
        <v>0</v>
      </c>
    </row>
    <row r="28" spans="1:9" x14ac:dyDescent="0.3">
      <c r="C28" s="10">
        <v>116</v>
      </c>
      <c r="D28" s="10">
        <v>2404156</v>
      </c>
      <c r="E28" s="10" t="s">
        <v>20</v>
      </c>
      <c r="F28" s="10">
        <v>0.186</v>
      </c>
      <c r="G28" s="10">
        <v>0.81399999999999995</v>
      </c>
      <c r="H28" s="10" t="s">
        <v>41</v>
      </c>
      <c r="I28" s="10" t="b">
        <v>0</v>
      </c>
    </row>
    <row r="29" spans="1:9" x14ac:dyDescent="0.3">
      <c r="C29" s="10">
        <v>49</v>
      </c>
      <c r="D29" s="10">
        <v>2404069</v>
      </c>
      <c r="E29" s="10" t="s">
        <v>20</v>
      </c>
      <c r="F29" s="10">
        <v>0.17899999999999999</v>
      </c>
      <c r="G29" s="10">
        <v>0.82099999999999995</v>
      </c>
      <c r="H29" s="10" t="s">
        <v>28</v>
      </c>
      <c r="I29" s="10" t="b">
        <v>0</v>
      </c>
    </row>
    <row r="30" spans="1:9" x14ac:dyDescent="0.3">
      <c r="C30" s="10">
        <v>101</v>
      </c>
      <c r="D30" s="10">
        <v>2404140</v>
      </c>
      <c r="E30" s="10" t="s">
        <v>20</v>
      </c>
      <c r="F30" s="10">
        <v>0.1759</v>
      </c>
      <c r="G30" s="10">
        <v>0.82410000000000005</v>
      </c>
      <c r="H30" s="10" t="s">
        <v>31</v>
      </c>
      <c r="I30" s="10" t="b">
        <v>0</v>
      </c>
    </row>
    <row r="31" spans="1:9" x14ac:dyDescent="0.3">
      <c r="C31" s="10">
        <v>23</v>
      </c>
      <c r="D31" s="10">
        <v>2404036</v>
      </c>
      <c r="E31" s="10" t="s">
        <v>20</v>
      </c>
      <c r="F31" s="10">
        <v>0.17269999999999999</v>
      </c>
      <c r="G31" s="10">
        <v>0.82730000000000004</v>
      </c>
      <c r="H31" s="10" t="s">
        <v>33</v>
      </c>
      <c r="I31" s="10" t="b">
        <v>0</v>
      </c>
    </row>
    <row r="32" spans="1:9" x14ac:dyDescent="0.3">
      <c r="C32" s="10">
        <v>33</v>
      </c>
      <c r="D32" s="10">
        <v>2404050</v>
      </c>
      <c r="E32" s="10" t="s">
        <v>20</v>
      </c>
      <c r="F32" s="10">
        <v>0.16719999999999999</v>
      </c>
      <c r="G32" s="10">
        <v>0.83279999999999998</v>
      </c>
      <c r="H32" s="10" t="s">
        <v>41</v>
      </c>
      <c r="I32" s="10" t="b">
        <v>0</v>
      </c>
    </row>
    <row r="33" spans="3:9" x14ac:dyDescent="0.3">
      <c r="C33" s="10">
        <v>32</v>
      </c>
      <c r="D33" s="10">
        <v>2404048</v>
      </c>
      <c r="E33" s="10" t="s">
        <v>20</v>
      </c>
      <c r="F33" s="10">
        <v>0.16289999999999999</v>
      </c>
      <c r="G33" s="10">
        <v>0.83709999999999996</v>
      </c>
      <c r="H33" s="10" t="s">
        <v>26</v>
      </c>
      <c r="I33" s="10" t="b">
        <v>0</v>
      </c>
    </row>
    <row r="34" spans="3:9" x14ac:dyDescent="0.3">
      <c r="C34" s="10">
        <v>68</v>
      </c>
      <c r="D34" s="10">
        <v>2404094</v>
      </c>
      <c r="E34" s="10" t="s">
        <v>20</v>
      </c>
      <c r="F34" s="10">
        <v>0.1605</v>
      </c>
      <c r="G34" s="10">
        <v>0.83950000000000002</v>
      </c>
      <c r="H34" s="10" t="s">
        <v>52</v>
      </c>
      <c r="I34" s="10" t="b">
        <v>0</v>
      </c>
    </row>
    <row r="35" spans="3:9" x14ac:dyDescent="0.3">
      <c r="C35" s="10">
        <v>70</v>
      </c>
      <c r="D35" s="10">
        <v>2404097</v>
      </c>
      <c r="E35" s="10" t="s">
        <v>20</v>
      </c>
      <c r="F35" s="10">
        <v>0.1593</v>
      </c>
      <c r="G35" s="10">
        <v>0.8407</v>
      </c>
      <c r="H35" s="10" t="s">
        <v>47</v>
      </c>
      <c r="I35" s="10" t="b">
        <v>0</v>
      </c>
    </row>
    <row r="36" spans="3:9" x14ac:dyDescent="0.3">
      <c r="C36" s="10">
        <v>62</v>
      </c>
      <c r="D36" s="10">
        <v>2404088</v>
      </c>
      <c r="E36" s="10" t="s">
        <v>20</v>
      </c>
      <c r="F36" s="10">
        <v>0.1573</v>
      </c>
      <c r="G36" s="10">
        <v>0.8427</v>
      </c>
      <c r="H36" s="10" t="s">
        <v>26</v>
      </c>
      <c r="I36" s="10" t="b">
        <v>0</v>
      </c>
    </row>
    <row r="37" spans="3:9" x14ac:dyDescent="0.3">
      <c r="C37" s="10">
        <v>53</v>
      </c>
      <c r="D37" s="10">
        <v>2404073</v>
      </c>
      <c r="E37" s="10" t="s">
        <v>20</v>
      </c>
      <c r="F37" s="10">
        <v>0.15570000000000001</v>
      </c>
      <c r="G37" s="10">
        <v>0.84430000000000005</v>
      </c>
      <c r="H37" s="10" t="s">
        <v>55</v>
      </c>
      <c r="I37" s="10" t="b">
        <v>0</v>
      </c>
    </row>
    <row r="38" spans="3:9" ht="14.4" customHeight="1" x14ac:dyDescent="0.3">
      <c r="C38" s="10">
        <v>52</v>
      </c>
      <c r="D38" s="10">
        <v>2404072</v>
      </c>
      <c r="E38" s="10" t="s">
        <v>20</v>
      </c>
      <c r="F38" s="10">
        <v>0.154</v>
      </c>
      <c r="G38" s="10">
        <v>0.84599999999999997</v>
      </c>
      <c r="H38" s="10" t="s">
        <v>33</v>
      </c>
      <c r="I38" s="10" t="b">
        <v>0</v>
      </c>
    </row>
    <row r="39" spans="3:9" x14ac:dyDescent="0.3">
      <c r="C39" s="10">
        <v>109</v>
      </c>
      <c r="D39" s="10">
        <v>2404148</v>
      </c>
      <c r="E39" s="10" t="s">
        <v>20</v>
      </c>
      <c r="F39" s="10">
        <v>0.14119999999999999</v>
      </c>
      <c r="G39" s="10">
        <v>0.85880000000000001</v>
      </c>
      <c r="H39" s="10" t="s">
        <v>26</v>
      </c>
      <c r="I39" s="10" t="b">
        <v>0</v>
      </c>
    </row>
    <row r="40" spans="3:9" x14ac:dyDescent="0.3">
      <c r="C40" s="10">
        <v>79</v>
      </c>
      <c r="D40" s="10">
        <v>2404112</v>
      </c>
      <c r="E40" s="10" t="s">
        <v>20</v>
      </c>
      <c r="F40" s="10">
        <v>0.1396</v>
      </c>
      <c r="G40" s="10">
        <v>0.86040000000000005</v>
      </c>
      <c r="H40" s="10" t="s">
        <v>31</v>
      </c>
      <c r="I40" s="10" t="b">
        <v>0</v>
      </c>
    </row>
    <row r="41" spans="3:9" x14ac:dyDescent="0.3">
      <c r="C41" s="10">
        <v>96</v>
      </c>
      <c r="D41" s="10">
        <v>2404135</v>
      </c>
      <c r="E41" s="10" t="s">
        <v>20</v>
      </c>
      <c r="F41" s="10">
        <v>0.13600000000000001</v>
      </c>
      <c r="G41" s="10">
        <v>0.86399999999999999</v>
      </c>
      <c r="H41" s="10" t="s">
        <v>38</v>
      </c>
      <c r="I41" s="10" t="b">
        <v>0</v>
      </c>
    </row>
    <row r="42" spans="3:9" x14ac:dyDescent="0.3">
      <c r="C42" s="10">
        <v>11</v>
      </c>
      <c r="D42" s="10">
        <v>2404015</v>
      </c>
      <c r="E42" s="10" t="s">
        <v>20</v>
      </c>
      <c r="F42" s="10">
        <v>0.13439999999999999</v>
      </c>
      <c r="G42" s="10">
        <v>0.86560000000000004</v>
      </c>
      <c r="H42" s="10" t="s">
        <v>38</v>
      </c>
      <c r="I42" s="10" t="b">
        <v>0</v>
      </c>
    </row>
    <row r="43" spans="3:9" x14ac:dyDescent="0.3">
      <c r="C43" s="10">
        <v>45</v>
      </c>
      <c r="D43" s="10">
        <v>2404064</v>
      </c>
      <c r="E43" s="10" t="s">
        <v>20</v>
      </c>
      <c r="F43" s="10">
        <v>0.1331</v>
      </c>
      <c r="G43" s="10">
        <v>0.8669</v>
      </c>
      <c r="H43" s="10" t="s">
        <v>33</v>
      </c>
      <c r="I43" s="10" t="b">
        <v>0</v>
      </c>
    </row>
    <row r="44" spans="3:9" x14ac:dyDescent="0.3">
      <c r="C44" s="10">
        <v>64</v>
      </c>
      <c r="D44" s="10">
        <v>2404090</v>
      </c>
      <c r="E44" s="10" t="s">
        <v>20</v>
      </c>
      <c r="F44" s="10">
        <v>0.13239999999999999</v>
      </c>
      <c r="G44" s="10">
        <v>0.86760000000000004</v>
      </c>
      <c r="H44" s="10" t="s">
        <v>33</v>
      </c>
      <c r="I44" s="10" t="b">
        <v>0</v>
      </c>
    </row>
    <row r="45" spans="3:9" x14ac:dyDescent="0.3">
      <c r="C45" s="10">
        <v>66</v>
      </c>
      <c r="D45" s="10">
        <v>2404092</v>
      </c>
      <c r="E45" s="10" t="s">
        <v>20</v>
      </c>
      <c r="F45" s="10">
        <v>0.1246</v>
      </c>
      <c r="G45" s="10">
        <v>0.87539999999999996</v>
      </c>
      <c r="H45" s="10" t="s">
        <v>28</v>
      </c>
      <c r="I45" s="10" t="b">
        <v>0</v>
      </c>
    </row>
    <row r="46" spans="3:9" x14ac:dyDescent="0.3">
      <c r="C46" s="10">
        <v>54</v>
      </c>
      <c r="D46" s="10">
        <v>2404074</v>
      </c>
      <c r="E46" s="10" t="s">
        <v>20</v>
      </c>
      <c r="F46" s="10">
        <v>0.1173</v>
      </c>
      <c r="G46" s="10">
        <v>0.88270000000000004</v>
      </c>
      <c r="H46" s="10" t="s">
        <v>31</v>
      </c>
      <c r="I46" s="10" t="b">
        <v>0</v>
      </c>
    </row>
    <row r="47" spans="3:9" x14ac:dyDescent="0.3">
      <c r="C47" s="10">
        <v>90</v>
      </c>
      <c r="D47" s="10">
        <v>2404127</v>
      </c>
      <c r="E47" s="10" t="s">
        <v>20</v>
      </c>
      <c r="F47" s="10">
        <v>0.1159</v>
      </c>
      <c r="G47" s="10">
        <v>0.8841</v>
      </c>
      <c r="H47" s="10" t="s">
        <v>33</v>
      </c>
      <c r="I47" s="10" t="b">
        <v>0</v>
      </c>
    </row>
    <row r="48" spans="3:9" x14ac:dyDescent="0.3">
      <c r="C48" s="10">
        <v>26</v>
      </c>
      <c r="D48" s="10">
        <v>2404039</v>
      </c>
      <c r="E48" s="10" t="s">
        <v>20</v>
      </c>
      <c r="F48" s="10">
        <v>0.1154</v>
      </c>
      <c r="G48" s="10">
        <v>0.88460000000000005</v>
      </c>
      <c r="H48" s="10" t="s">
        <v>31</v>
      </c>
      <c r="I48" s="10" t="b">
        <v>0</v>
      </c>
    </row>
    <row r="49" spans="3:9" ht="14.4" customHeight="1" x14ac:dyDescent="0.3">
      <c r="C49" s="10">
        <v>100</v>
      </c>
      <c r="D49" s="10">
        <v>2404139</v>
      </c>
      <c r="E49" s="10" t="s">
        <v>20</v>
      </c>
      <c r="F49" s="10">
        <v>0.1147</v>
      </c>
      <c r="G49" s="10">
        <v>0.88529999999999998</v>
      </c>
      <c r="H49" s="10" t="s">
        <v>28</v>
      </c>
      <c r="I49" s="10" t="b">
        <v>0</v>
      </c>
    </row>
    <row r="50" spans="3:9" x14ac:dyDescent="0.3">
      <c r="C50" s="10">
        <v>83</v>
      </c>
      <c r="D50" s="10">
        <v>2404116</v>
      </c>
      <c r="E50" s="10" t="s">
        <v>20</v>
      </c>
      <c r="F50" s="10">
        <v>0.1118</v>
      </c>
      <c r="G50" s="10">
        <v>0.88819999999999999</v>
      </c>
      <c r="H50" s="10" t="s">
        <v>38</v>
      </c>
      <c r="I50" s="10" t="b">
        <v>0</v>
      </c>
    </row>
    <row r="51" spans="3:9" x14ac:dyDescent="0.3">
      <c r="C51" s="10">
        <v>113</v>
      </c>
      <c r="D51" s="10">
        <v>2404152</v>
      </c>
      <c r="E51" s="10" t="s">
        <v>20</v>
      </c>
      <c r="F51" s="10">
        <v>0.1087</v>
      </c>
      <c r="G51" s="10">
        <v>0.89129999999999998</v>
      </c>
      <c r="H51" s="10" t="s">
        <v>38</v>
      </c>
      <c r="I51" s="10" t="b">
        <v>0</v>
      </c>
    </row>
    <row r="52" spans="3:9" x14ac:dyDescent="0.3">
      <c r="C52" s="10">
        <v>5</v>
      </c>
      <c r="D52" s="10">
        <v>2404008</v>
      </c>
      <c r="E52" s="10" t="s">
        <v>20</v>
      </c>
      <c r="F52" s="10">
        <v>0.1072</v>
      </c>
      <c r="G52" s="10">
        <v>0.89280000000000004</v>
      </c>
      <c r="H52" s="10" t="s">
        <v>31</v>
      </c>
      <c r="I52" s="10" t="b">
        <v>0</v>
      </c>
    </row>
    <row r="53" spans="3:9" x14ac:dyDescent="0.3">
      <c r="C53" s="10">
        <v>2</v>
      </c>
      <c r="D53" s="10">
        <v>2404002</v>
      </c>
      <c r="E53" s="10" t="s">
        <v>20</v>
      </c>
      <c r="F53" s="10">
        <v>0.10639999999999999</v>
      </c>
      <c r="G53" s="10">
        <v>0.89359999999999995</v>
      </c>
      <c r="H53" s="10" t="s">
        <v>41</v>
      </c>
      <c r="I53" s="10" t="b">
        <v>0</v>
      </c>
    </row>
    <row r="54" spans="3:9" x14ac:dyDescent="0.3">
      <c r="C54" s="10">
        <v>123</v>
      </c>
      <c r="D54" s="10">
        <v>2404167</v>
      </c>
      <c r="E54" s="10" t="s">
        <v>20</v>
      </c>
      <c r="F54" s="10">
        <v>0.10639999999999999</v>
      </c>
      <c r="G54" s="10">
        <v>0.89359999999999995</v>
      </c>
      <c r="H54" s="10" t="s">
        <v>38</v>
      </c>
      <c r="I54" s="10" t="b">
        <v>0</v>
      </c>
    </row>
    <row r="55" spans="3:9" x14ac:dyDescent="0.3">
      <c r="C55" s="10">
        <v>73</v>
      </c>
      <c r="D55" s="10">
        <v>2404103</v>
      </c>
      <c r="E55" s="10" t="s">
        <v>20</v>
      </c>
      <c r="F55" s="10">
        <v>0.10539999999999999</v>
      </c>
      <c r="G55" s="10">
        <v>0.89459999999999995</v>
      </c>
      <c r="H55" s="10" t="s">
        <v>33</v>
      </c>
      <c r="I55" s="10" t="b">
        <v>0</v>
      </c>
    </row>
    <row r="56" spans="3:9" x14ac:dyDescent="0.3">
      <c r="C56" s="10">
        <v>115</v>
      </c>
      <c r="D56" s="10">
        <v>2404155</v>
      </c>
      <c r="E56" s="10" t="s">
        <v>20</v>
      </c>
      <c r="F56" s="10">
        <v>0.10390000000000001</v>
      </c>
      <c r="G56" s="10">
        <v>0.89610000000000001</v>
      </c>
      <c r="H56" s="10" t="s">
        <v>26</v>
      </c>
      <c r="I56" s="10" t="b">
        <v>0</v>
      </c>
    </row>
    <row r="57" spans="3:9" x14ac:dyDescent="0.3">
      <c r="C57" s="10">
        <v>25</v>
      </c>
      <c r="D57" s="10">
        <v>2404038</v>
      </c>
      <c r="E57" s="10" t="s">
        <v>20</v>
      </c>
      <c r="F57" s="10">
        <v>0.1021</v>
      </c>
      <c r="G57" s="10">
        <v>0.89790000000000003</v>
      </c>
      <c r="H57" s="10" t="s">
        <v>31</v>
      </c>
      <c r="I57" s="10" t="b">
        <v>0</v>
      </c>
    </row>
    <row r="58" spans="3:9" x14ac:dyDescent="0.3">
      <c r="C58" s="10">
        <v>42</v>
      </c>
      <c r="D58" s="10">
        <v>2404061</v>
      </c>
      <c r="E58" s="10" t="s">
        <v>20</v>
      </c>
      <c r="F58" s="10">
        <v>0.1019</v>
      </c>
      <c r="G58" s="10">
        <v>0.89810000000000001</v>
      </c>
      <c r="H58" s="10" t="s">
        <v>38</v>
      </c>
      <c r="I58" s="10" t="b">
        <v>0</v>
      </c>
    </row>
    <row r="59" spans="3:9" x14ac:dyDescent="0.3">
      <c r="C59" s="10">
        <v>119</v>
      </c>
      <c r="D59" s="10">
        <v>2404161</v>
      </c>
      <c r="E59" s="10" t="s">
        <v>20</v>
      </c>
      <c r="F59" s="10">
        <v>9.9900000000000003E-2</v>
      </c>
      <c r="G59" s="10">
        <v>0.90010000000000001</v>
      </c>
      <c r="H59" s="10" t="s">
        <v>26</v>
      </c>
      <c r="I59" s="10" t="b">
        <v>0</v>
      </c>
    </row>
    <row r="60" spans="3:9" x14ac:dyDescent="0.3">
      <c r="C60" s="10">
        <v>95</v>
      </c>
      <c r="D60" s="10">
        <v>2404134</v>
      </c>
      <c r="E60" s="10" t="s">
        <v>20</v>
      </c>
      <c r="F60" s="10">
        <v>9.7799999999999998E-2</v>
      </c>
      <c r="G60" s="10">
        <v>0.9022</v>
      </c>
      <c r="H60" s="10" t="s">
        <v>38</v>
      </c>
      <c r="I60" s="10" t="b">
        <v>0</v>
      </c>
    </row>
    <row r="61" spans="3:9" x14ac:dyDescent="0.3">
      <c r="C61" s="10">
        <v>108</v>
      </c>
      <c r="D61" s="10">
        <v>2404147</v>
      </c>
      <c r="E61" s="10" t="s">
        <v>20</v>
      </c>
      <c r="F61" s="10">
        <v>9.6100000000000005E-2</v>
      </c>
      <c r="G61" s="10">
        <v>0.90390000000000004</v>
      </c>
      <c r="H61" s="10" t="s">
        <v>31</v>
      </c>
      <c r="I61" s="10" t="b">
        <v>0</v>
      </c>
    </row>
    <row r="62" spans="3:9" x14ac:dyDescent="0.3">
      <c r="C62" s="10">
        <v>88</v>
      </c>
      <c r="D62" s="10">
        <v>2404125</v>
      </c>
      <c r="E62" s="10" t="s">
        <v>20</v>
      </c>
      <c r="F62" s="10">
        <v>9.4299999999999995E-2</v>
      </c>
      <c r="G62" s="10">
        <v>0.90569999999999995</v>
      </c>
      <c r="H62" s="10" t="s">
        <v>28</v>
      </c>
      <c r="I62" s="10" t="b">
        <v>0</v>
      </c>
    </row>
    <row r="63" spans="3:9" x14ac:dyDescent="0.3">
      <c r="C63" s="10">
        <v>120</v>
      </c>
      <c r="D63" s="10">
        <v>2404162</v>
      </c>
      <c r="E63" s="10" t="s">
        <v>20</v>
      </c>
      <c r="F63" s="10">
        <v>9.3100000000000002E-2</v>
      </c>
      <c r="G63" s="10">
        <v>0.90690000000000004</v>
      </c>
      <c r="H63" s="10" t="s">
        <v>38</v>
      </c>
      <c r="I63" s="10" t="b">
        <v>0</v>
      </c>
    </row>
    <row r="64" spans="3:9" ht="14.4" customHeight="1" x14ac:dyDescent="0.3">
      <c r="C64" s="10">
        <v>35</v>
      </c>
      <c r="D64" s="10">
        <v>2404052</v>
      </c>
      <c r="E64" s="10" t="s">
        <v>20</v>
      </c>
      <c r="F64" s="10">
        <v>9.2700000000000005E-2</v>
      </c>
      <c r="G64" s="10">
        <v>0.9073</v>
      </c>
      <c r="H64" s="10" t="s">
        <v>38</v>
      </c>
      <c r="I64" s="10" t="b">
        <v>0</v>
      </c>
    </row>
    <row r="65" spans="1:11" x14ac:dyDescent="0.3">
      <c r="C65" s="10">
        <v>40</v>
      </c>
      <c r="D65" s="10">
        <v>2404059</v>
      </c>
      <c r="E65" s="10" t="s">
        <v>20</v>
      </c>
      <c r="F65" s="10">
        <v>9.1499999999999998E-2</v>
      </c>
      <c r="G65" s="10">
        <v>0.90849999999999997</v>
      </c>
      <c r="H65" s="10" t="s">
        <v>31</v>
      </c>
      <c r="I65" s="10" t="b">
        <v>0</v>
      </c>
    </row>
    <row r="66" spans="1:11" x14ac:dyDescent="0.3">
      <c r="C66" s="10">
        <v>80</v>
      </c>
      <c r="D66" s="10">
        <v>2404113</v>
      </c>
      <c r="E66" s="10" t="s">
        <v>20</v>
      </c>
      <c r="F66" s="10">
        <v>8.8300000000000003E-2</v>
      </c>
      <c r="G66" s="10">
        <v>0.91169999999999995</v>
      </c>
      <c r="H66" s="10" t="s">
        <v>31</v>
      </c>
      <c r="I66" s="10" t="b">
        <v>0</v>
      </c>
    </row>
    <row r="67" spans="1:11" x14ac:dyDescent="0.3">
      <c r="C67" s="10">
        <v>77</v>
      </c>
      <c r="D67" s="10">
        <v>2404108</v>
      </c>
      <c r="E67" s="10" t="s">
        <v>20</v>
      </c>
      <c r="F67" s="10">
        <v>8.7300000000000003E-2</v>
      </c>
      <c r="G67" s="10">
        <v>0.91269999999999996</v>
      </c>
      <c r="H67" s="10" t="s">
        <v>38</v>
      </c>
      <c r="I67" s="10" t="b">
        <v>0</v>
      </c>
    </row>
    <row r="68" spans="1:11" x14ac:dyDescent="0.3">
      <c r="C68" s="10">
        <v>84</v>
      </c>
      <c r="D68" s="10">
        <v>2404117</v>
      </c>
      <c r="E68" s="10" t="s">
        <v>20</v>
      </c>
      <c r="F68" s="10">
        <v>8.5300000000000001E-2</v>
      </c>
      <c r="G68" s="10">
        <v>0.91469999999999996</v>
      </c>
      <c r="H68" s="10" t="s">
        <v>31</v>
      </c>
      <c r="I68" s="10" t="b">
        <v>0</v>
      </c>
    </row>
    <row r="69" spans="1:11" x14ac:dyDescent="0.3">
      <c r="C69" s="10">
        <v>82</v>
      </c>
      <c r="D69" s="10">
        <v>2404115</v>
      </c>
      <c r="E69" s="10" t="s">
        <v>20</v>
      </c>
      <c r="F69" s="10">
        <v>8.43E-2</v>
      </c>
      <c r="G69" s="10">
        <v>0.91569999999999996</v>
      </c>
      <c r="H69" s="10" t="s">
        <v>38</v>
      </c>
      <c r="I69" s="10" t="b">
        <v>0</v>
      </c>
    </row>
    <row r="70" spans="1:11" x14ac:dyDescent="0.3">
      <c r="C70" s="10">
        <v>41</v>
      </c>
      <c r="D70" s="10">
        <v>2404060</v>
      </c>
      <c r="E70" s="10" t="s">
        <v>20</v>
      </c>
      <c r="F70" s="10">
        <v>8.2799999999999999E-2</v>
      </c>
      <c r="G70" s="10">
        <v>0.91720000000000002</v>
      </c>
      <c r="H70" s="10" t="s">
        <v>45</v>
      </c>
      <c r="I70" s="10" t="b">
        <v>0</v>
      </c>
    </row>
    <row r="71" spans="1:11" x14ac:dyDescent="0.3">
      <c r="C71" s="10">
        <v>28</v>
      </c>
      <c r="D71" s="10">
        <v>2404042</v>
      </c>
      <c r="E71" s="10" t="s">
        <v>20</v>
      </c>
      <c r="F71" s="10">
        <v>8.1600000000000006E-2</v>
      </c>
      <c r="G71" s="10">
        <v>0.91839999999999999</v>
      </c>
      <c r="H71" s="10" t="s">
        <v>33</v>
      </c>
      <c r="I71" s="10" t="b">
        <v>0</v>
      </c>
    </row>
    <row r="72" spans="1:11" x14ac:dyDescent="0.3">
      <c r="C72" s="10">
        <v>24</v>
      </c>
      <c r="D72" s="10">
        <v>2404037</v>
      </c>
      <c r="E72" s="10" t="s">
        <v>20</v>
      </c>
      <c r="F72" s="10">
        <v>7.9200000000000007E-2</v>
      </c>
      <c r="G72" s="10">
        <v>0.92079999999999995</v>
      </c>
      <c r="H72" s="10" t="s">
        <v>31</v>
      </c>
      <c r="I72" s="10" t="b">
        <v>0</v>
      </c>
    </row>
    <row r="73" spans="1:11" ht="14.4" customHeight="1" x14ac:dyDescent="0.3">
      <c r="C73" s="10">
        <v>107</v>
      </c>
      <c r="D73" s="10">
        <v>2404146</v>
      </c>
      <c r="E73" s="10" t="s">
        <v>20</v>
      </c>
      <c r="F73" s="10">
        <v>7.7100000000000002E-2</v>
      </c>
      <c r="G73" s="10">
        <v>0.92290000000000005</v>
      </c>
      <c r="H73" s="10" t="s">
        <v>28</v>
      </c>
      <c r="I73" s="10" t="b">
        <v>0</v>
      </c>
    </row>
    <row r="74" spans="1:11" x14ac:dyDescent="0.3">
      <c r="C74" s="10">
        <v>122</v>
      </c>
      <c r="D74" s="10">
        <v>2404164</v>
      </c>
      <c r="E74" s="10" t="s">
        <v>20</v>
      </c>
      <c r="F74" s="10">
        <v>7.5899999999999995E-2</v>
      </c>
      <c r="G74" s="10">
        <v>0.92410000000000003</v>
      </c>
      <c r="H74" s="10" t="s">
        <v>38</v>
      </c>
      <c r="I74" s="10" t="b">
        <v>0</v>
      </c>
    </row>
    <row r="75" spans="1:11" x14ac:dyDescent="0.3">
      <c r="C75" s="10">
        <v>30</v>
      </c>
      <c r="D75" s="10">
        <v>2404046</v>
      </c>
      <c r="E75" s="10" t="s">
        <v>20</v>
      </c>
      <c r="F75" s="10">
        <v>7.4700000000000003E-2</v>
      </c>
      <c r="G75" s="10">
        <v>0.92530000000000001</v>
      </c>
      <c r="H75" s="10" t="s">
        <v>31</v>
      </c>
      <c r="I75" s="10" t="b">
        <v>0</v>
      </c>
    </row>
    <row r="76" spans="1:11" x14ac:dyDescent="0.3">
      <c r="C76" s="10">
        <v>4</v>
      </c>
      <c r="D76" s="10">
        <v>2404005</v>
      </c>
      <c r="E76" s="10" t="s">
        <v>20</v>
      </c>
      <c r="F76" s="10">
        <v>7.46E-2</v>
      </c>
      <c r="G76" s="10">
        <v>0.9254</v>
      </c>
      <c r="H76" s="10" t="s">
        <v>38</v>
      </c>
      <c r="I76" s="10" t="b">
        <v>0</v>
      </c>
    </row>
    <row r="77" spans="1:11" x14ac:dyDescent="0.3">
      <c r="A77" s="89"/>
      <c r="B77" s="89"/>
      <c r="C77" s="89">
        <v>6</v>
      </c>
      <c r="D77" s="89">
        <v>2404009</v>
      </c>
      <c r="E77" s="89" t="s">
        <v>20</v>
      </c>
      <c r="F77" s="89">
        <v>7.3700000000000002E-2</v>
      </c>
      <c r="G77" s="89">
        <v>0.92630000000000001</v>
      </c>
      <c r="H77" s="89" t="s">
        <v>31</v>
      </c>
      <c r="I77" s="89" t="b">
        <v>0</v>
      </c>
      <c r="J77" s="89"/>
      <c r="K77" s="89"/>
    </row>
    <row r="78" spans="1:11" x14ac:dyDescent="0.3">
      <c r="C78" s="10">
        <v>55</v>
      </c>
      <c r="D78" s="10">
        <v>2404079</v>
      </c>
      <c r="E78" s="10" t="s">
        <v>20</v>
      </c>
      <c r="F78" s="10">
        <v>7.3599999999999999E-2</v>
      </c>
      <c r="G78" s="10">
        <v>0.9264</v>
      </c>
      <c r="H78" s="10" t="s">
        <v>31</v>
      </c>
      <c r="I78" s="10" t="b">
        <v>0</v>
      </c>
    </row>
    <row r="79" spans="1:11" x14ac:dyDescent="0.3">
      <c r="C79" s="10">
        <v>46</v>
      </c>
      <c r="D79" s="10">
        <v>2404065</v>
      </c>
      <c r="E79" s="10" t="s">
        <v>20</v>
      </c>
      <c r="F79" s="10">
        <v>7.0599999999999996E-2</v>
      </c>
      <c r="G79" s="10">
        <v>0.9294</v>
      </c>
      <c r="H79" s="10" t="s">
        <v>38</v>
      </c>
      <c r="I79" s="10" t="b">
        <v>0</v>
      </c>
    </row>
    <row r="80" spans="1:11" x14ac:dyDescent="0.3">
      <c r="C80" s="10">
        <v>51</v>
      </c>
      <c r="D80" s="10">
        <v>2404071</v>
      </c>
      <c r="E80" s="10" t="s">
        <v>20</v>
      </c>
      <c r="F80" s="10">
        <v>6.9199999999999998E-2</v>
      </c>
      <c r="G80" s="10">
        <v>0.93079999999999996</v>
      </c>
      <c r="H80" s="10" t="s">
        <v>41</v>
      </c>
      <c r="I80" s="10" t="b">
        <v>0</v>
      </c>
    </row>
    <row r="81" spans="3:9" x14ac:dyDescent="0.3">
      <c r="C81" s="10">
        <v>94</v>
      </c>
      <c r="D81" s="10">
        <v>2404133</v>
      </c>
      <c r="E81" s="10" t="s">
        <v>20</v>
      </c>
      <c r="F81" s="10">
        <v>6.2300000000000001E-2</v>
      </c>
      <c r="G81" s="10">
        <v>0.93769999999999998</v>
      </c>
      <c r="H81" s="10" t="s">
        <v>26</v>
      </c>
      <c r="I81" s="10" t="b">
        <v>0</v>
      </c>
    </row>
    <row r="82" spans="3:9" x14ac:dyDescent="0.3">
      <c r="C82" s="10">
        <v>86</v>
      </c>
      <c r="D82" s="10">
        <v>2404120</v>
      </c>
      <c r="E82" s="10" t="s">
        <v>20</v>
      </c>
      <c r="F82" s="10">
        <v>6.08E-2</v>
      </c>
      <c r="G82" s="10">
        <v>0.93920000000000003</v>
      </c>
      <c r="H82" s="10" t="s">
        <v>38</v>
      </c>
      <c r="I82" s="10" t="b">
        <v>0</v>
      </c>
    </row>
    <row r="83" spans="3:9" x14ac:dyDescent="0.3">
      <c r="C83" s="10">
        <v>111</v>
      </c>
      <c r="D83" s="10">
        <v>2404150</v>
      </c>
      <c r="E83" s="10" t="s">
        <v>20</v>
      </c>
      <c r="F83" s="10">
        <v>5.9499999999999997E-2</v>
      </c>
      <c r="G83" s="10">
        <v>0.9405</v>
      </c>
      <c r="H83" s="10" t="s">
        <v>38</v>
      </c>
      <c r="I83" s="10" t="b">
        <v>0</v>
      </c>
    </row>
    <row r="84" spans="3:9" x14ac:dyDescent="0.3">
      <c r="C84" s="10">
        <v>48</v>
      </c>
      <c r="D84" s="10">
        <v>2404068</v>
      </c>
      <c r="E84" s="10" t="s">
        <v>20</v>
      </c>
      <c r="F84" s="10">
        <v>5.5500000000000001E-2</v>
      </c>
      <c r="G84" s="10">
        <v>0.94450000000000001</v>
      </c>
      <c r="H84" s="10" t="s">
        <v>33</v>
      </c>
      <c r="I84" s="10" t="b">
        <v>0</v>
      </c>
    </row>
    <row r="85" spans="3:9" x14ac:dyDescent="0.3">
      <c r="C85" s="10">
        <v>75</v>
      </c>
      <c r="D85" s="10">
        <v>2404106</v>
      </c>
      <c r="E85" s="10" t="s">
        <v>20</v>
      </c>
      <c r="F85" s="10">
        <v>5.5E-2</v>
      </c>
      <c r="G85" s="10">
        <v>0.94499999999999995</v>
      </c>
      <c r="H85" s="10" t="s">
        <v>45</v>
      </c>
      <c r="I85" s="10" t="b">
        <v>0</v>
      </c>
    </row>
    <row r="86" spans="3:9" ht="14.4" customHeight="1" x14ac:dyDescent="0.3">
      <c r="C86" s="10">
        <v>15</v>
      </c>
      <c r="D86" s="10">
        <v>2404020</v>
      </c>
      <c r="E86" s="10" t="s">
        <v>20</v>
      </c>
      <c r="F86" s="10">
        <v>5.4899999999999997E-2</v>
      </c>
      <c r="G86" s="10">
        <v>0.94510000000000005</v>
      </c>
      <c r="H86" s="10" t="s">
        <v>41</v>
      </c>
      <c r="I86" s="10" t="b">
        <v>0</v>
      </c>
    </row>
    <row r="87" spans="3:9" x14ac:dyDescent="0.3">
      <c r="C87" s="10">
        <v>105</v>
      </c>
      <c r="D87" s="10">
        <v>2404144</v>
      </c>
      <c r="E87" s="10" t="s">
        <v>20</v>
      </c>
      <c r="F87" s="10">
        <v>5.4399999999999997E-2</v>
      </c>
      <c r="G87" s="10">
        <v>0.9456</v>
      </c>
      <c r="H87" s="10" t="s">
        <v>38</v>
      </c>
      <c r="I87" s="10" t="b">
        <v>0</v>
      </c>
    </row>
    <row r="88" spans="3:9" ht="14.4" customHeight="1" x14ac:dyDescent="0.3">
      <c r="C88" s="10">
        <v>34</v>
      </c>
      <c r="D88" s="10">
        <v>2404051</v>
      </c>
      <c r="E88" s="10" t="s">
        <v>20</v>
      </c>
      <c r="F88" s="10">
        <v>5.3800000000000001E-2</v>
      </c>
      <c r="G88" s="10">
        <v>0.94620000000000004</v>
      </c>
      <c r="H88" s="10" t="s">
        <v>38</v>
      </c>
      <c r="I88" s="10" t="b">
        <v>0</v>
      </c>
    </row>
    <row r="89" spans="3:9" x14ac:dyDescent="0.3">
      <c r="C89" s="10">
        <v>103</v>
      </c>
      <c r="D89" s="10">
        <v>2404142</v>
      </c>
      <c r="E89" s="10" t="s">
        <v>20</v>
      </c>
      <c r="F89" s="10">
        <v>5.2999999999999999E-2</v>
      </c>
      <c r="G89" s="10">
        <v>0.94699999999999995</v>
      </c>
      <c r="H89" s="10" t="s">
        <v>33</v>
      </c>
      <c r="I89" s="10" t="b">
        <v>0</v>
      </c>
    </row>
    <row r="90" spans="3:9" ht="14.4" customHeight="1" x14ac:dyDescent="0.3">
      <c r="C90" s="10">
        <v>29</v>
      </c>
      <c r="D90" s="10">
        <v>2404045</v>
      </c>
      <c r="E90" s="10" t="s">
        <v>20</v>
      </c>
      <c r="F90" s="10">
        <v>5.1499999999999997E-2</v>
      </c>
      <c r="G90" s="10">
        <v>0.94850000000000001</v>
      </c>
      <c r="H90" s="10" t="s">
        <v>33</v>
      </c>
      <c r="I90" s="10" t="b">
        <v>0</v>
      </c>
    </row>
    <row r="91" spans="3:9" x14ac:dyDescent="0.3">
      <c r="C91" s="10">
        <v>36</v>
      </c>
      <c r="D91" s="10">
        <v>2404054</v>
      </c>
      <c r="E91" s="10" t="s">
        <v>20</v>
      </c>
      <c r="F91" s="10">
        <v>5.0999999999999997E-2</v>
      </c>
      <c r="G91" s="10">
        <v>0.94899999999999995</v>
      </c>
      <c r="H91" s="10" t="s">
        <v>54</v>
      </c>
      <c r="I91" s="10" t="b">
        <v>0</v>
      </c>
    </row>
    <row r="92" spans="3:9" x14ac:dyDescent="0.3">
      <c r="C92" s="10">
        <v>67</v>
      </c>
      <c r="D92" s="10">
        <v>2404093</v>
      </c>
      <c r="E92" s="10" t="s">
        <v>20</v>
      </c>
      <c r="F92" s="10">
        <v>4.87E-2</v>
      </c>
      <c r="G92" s="10">
        <v>0.95130000000000003</v>
      </c>
      <c r="H92" s="10" t="s">
        <v>31</v>
      </c>
      <c r="I92" s="10" t="b">
        <v>0</v>
      </c>
    </row>
    <row r="93" spans="3:9" x14ac:dyDescent="0.3">
      <c r="C93" s="10">
        <v>121</v>
      </c>
      <c r="D93" s="10">
        <v>2404163</v>
      </c>
      <c r="E93" s="10" t="s">
        <v>20</v>
      </c>
      <c r="F93" s="10">
        <v>4.8399999999999999E-2</v>
      </c>
      <c r="G93" s="10">
        <v>0.9516</v>
      </c>
      <c r="H93" s="10" t="s">
        <v>38</v>
      </c>
      <c r="I93" s="10" t="b">
        <v>0</v>
      </c>
    </row>
    <row r="94" spans="3:9" x14ac:dyDescent="0.3">
      <c r="C94" s="10">
        <v>71</v>
      </c>
      <c r="D94" s="10">
        <v>2404098</v>
      </c>
      <c r="E94" s="10" t="s">
        <v>20</v>
      </c>
      <c r="F94" s="10">
        <v>4.7E-2</v>
      </c>
      <c r="G94" s="10">
        <v>0.95299999999999996</v>
      </c>
      <c r="H94" s="10" t="s">
        <v>38</v>
      </c>
      <c r="I94" s="10" t="b">
        <v>0</v>
      </c>
    </row>
    <row r="95" spans="3:9" x14ac:dyDescent="0.3">
      <c r="C95" s="10">
        <v>93</v>
      </c>
      <c r="D95" s="10">
        <v>2404131</v>
      </c>
      <c r="E95" s="10" t="s">
        <v>20</v>
      </c>
      <c r="F95" s="10">
        <v>4.5600000000000002E-2</v>
      </c>
      <c r="G95" s="10">
        <v>0.95440000000000003</v>
      </c>
      <c r="H95" s="10" t="s">
        <v>26</v>
      </c>
      <c r="I95" s="10" t="b">
        <v>0</v>
      </c>
    </row>
    <row r="96" spans="3:9" x14ac:dyDescent="0.3">
      <c r="C96" s="10">
        <v>19</v>
      </c>
      <c r="D96" s="10">
        <v>2404028</v>
      </c>
      <c r="E96" s="10" t="s">
        <v>20</v>
      </c>
      <c r="F96" s="10">
        <v>4.41E-2</v>
      </c>
      <c r="G96" s="10">
        <v>0.95589999999999997</v>
      </c>
      <c r="H96" s="10" t="s">
        <v>38</v>
      </c>
      <c r="I96" s="10" t="b">
        <v>0</v>
      </c>
    </row>
    <row r="97" spans="2:11" x14ac:dyDescent="0.3">
      <c r="C97" s="10">
        <v>12</v>
      </c>
      <c r="D97" s="10">
        <v>2404016</v>
      </c>
      <c r="E97" s="10" t="s">
        <v>20</v>
      </c>
      <c r="F97" s="10">
        <v>4.36E-2</v>
      </c>
      <c r="G97" s="10">
        <v>0.95640000000000003</v>
      </c>
      <c r="H97" s="10" t="s">
        <v>38</v>
      </c>
      <c r="I97" s="10" t="b">
        <v>0</v>
      </c>
    </row>
    <row r="98" spans="2:11" x14ac:dyDescent="0.3">
      <c r="C98" s="10">
        <v>18</v>
      </c>
      <c r="D98" s="10">
        <v>2404026</v>
      </c>
      <c r="E98" s="10" t="s">
        <v>20</v>
      </c>
      <c r="F98" s="10">
        <v>4.3099999999999999E-2</v>
      </c>
      <c r="G98" s="10">
        <v>0.95689999999999997</v>
      </c>
      <c r="H98" s="10" t="s">
        <v>38</v>
      </c>
      <c r="I98" s="10" t="b">
        <v>0</v>
      </c>
    </row>
    <row r="99" spans="2:11" x14ac:dyDescent="0.3">
      <c r="C99" s="10">
        <v>21</v>
      </c>
      <c r="D99" s="10">
        <v>2404033</v>
      </c>
      <c r="E99" s="10" t="s">
        <v>20</v>
      </c>
      <c r="F99" s="10">
        <v>4.2700000000000002E-2</v>
      </c>
      <c r="G99" s="10">
        <v>0.95730000000000004</v>
      </c>
      <c r="H99" s="10" t="s">
        <v>33</v>
      </c>
      <c r="I99" s="10" t="b">
        <v>0</v>
      </c>
    </row>
    <row r="100" spans="2:11" x14ac:dyDescent="0.3">
      <c r="C100" s="10">
        <v>60</v>
      </c>
      <c r="D100" s="10">
        <v>2404086</v>
      </c>
      <c r="E100" s="10" t="s">
        <v>20</v>
      </c>
      <c r="F100" s="10">
        <v>4.19E-2</v>
      </c>
      <c r="G100" s="10">
        <v>0.95809999999999995</v>
      </c>
      <c r="H100" s="10" t="s">
        <v>38</v>
      </c>
      <c r="I100" s="10" t="b">
        <v>0</v>
      </c>
    </row>
    <row r="101" spans="2:11" x14ac:dyDescent="0.3">
      <c r="C101" s="10">
        <v>98</v>
      </c>
      <c r="D101" s="10">
        <v>2404137</v>
      </c>
      <c r="E101" s="10" t="s">
        <v>20</v>
      </c>
      <c r="F101" s="10">
        <v>4.1000000000000002E-2</v>
      </c>
      <c r="G101" s="10">
        <v>0.95899999999999996</v>
      </c>
      <c r="H101" s="10" t="s">
        <v>38</v>
      </c>
      <c r="I101" s="10" t="b">
        <v>0</v>
      </c>
    </row>
    <row r="102" spans="2:11" x14ac:dyDescent="0.3">
      <c r="C102" s="10">
        <v>92</v>
      </c>
      <c r="D102" s="10">
        <v>2404130</v>
      </c>
      <c r="E102" s="10" t="s">
        <v>20</v>
      </c>
      <c r="F102" s="10">
        <v>4.0399999999999998E-2</v>
      </c>
      <c r="G102" s="10">
        <v>0.95960000000000001</v>
      </c>
      <c r="H102" s="10" t="s">
        <v>38</v>
      </c>
      <c r="I102" s="10" t="b">
        <v>0</v>
      </c>
    </row>
    <row r="103" spans="2:11" x14ac:dyDescent="0.3">
      <c r="C103" s="10">
        <v>43</v>
      </c>
      <c r="D103" s="10">
        <v>2404062</v>
      </c>
      <c r="E103" s="10" t="s">
        <v>20</v>
      </c>
      <c r="F103" s="10">
        <v>3.9800000000000002E-2</v>
      </c>
      <c r="G103" s="10">
        <v>0.96020000000000005</v>
      </c>
      <c r="H103" s="10" t="s">
        <v>38</v>
      </c>
      <c r="I103" s="10" t="b">
        <v>0</v>
      </c>
    </row>
    <row r="104" spans="2:11" x14ac:dyDescent="0.3">
      <c r="C104" s="10">
        <v>117</v>
      </c>
      <c r="D104" s="10">
        <v>2404158</v>
      </c>
      <c r="E104" s="10" t="s">
        <v>20</v>
      </c>
      <c r="F104" s="10">
        <v>3.56E-2</v>
      </c>
      <c r="G104" s="10">
        <v>0.96440000000000003</v>
      </c>
      <c r="H104" s="10" t="s">
        <v>38</v>
      </c>
      <c r="I104" s="10" t="b">
        <v>0</v>
      </c>
    </row>
    <row r="105" spans="2:11" x14ac:dyDescent="0.3">
      <c r="C105" s="10">
        <v>59</v>
      </c>
      <c r="D105" s="10">
        <v>2404085</v>
      </c>
      <c r="E105" s="10" t="s">
        <v>20</v>
      </c>
      <c r="F105" s="10">
        <v>3.4299999999999997E-2</v>
      </c>
      <c r="G105" s="10">
        <v>0.9657</v>
      </c>
      <c r="H105" s="10" t="s">
        <v>31</v>
      </c>
      <c r="I105" s="10" t="b">
        <v>0</v>
      </c>
    </row>
    <row r="106" spans="2:11" x14ac:dyDescent="0.3">
      <c r="C106" s="10">
        <v>20</v>
      </c>
      <c r="D106" s="10">
        <v>2404030</v>
      </c>
      <c r="E106" s="10" t="s">
        <v>20</v>
      </c>
      <c r="F106" s="10">
        <v>3.39E-2</v>
      </c>
      <c r="G106" s="10">
        <v>0.96609999999999996</v>
      </c>
      <c r="H106" s="10" t="s">
        <v>38</v>
      </c>
      <c r="I106" s="10" t="b">
        <v>0</v>
      </c>
    </row>
    <row r="107" spans="2:11" x14ac:dyDescent="0.3">
      <c r="B107" s="89"/>
      <c r="C107" s="89">
        <v>3</v>
      </c>
      <c r="D107" s="89">
        <v>2404004</v>
      </c>
      <c r="E107" s="89" t="s">
        <v>20</v>
      </c>
      <c r="F107" s="89">
        <v>3.27E-2</v>
      </c>
      <c r="G107" s="89">
        <v>0.96730000000000005</v>
      </c>
      <c r="H107" s="89" t="s">
        <v>52</v>
      </c>
      <c r="I107" s="89" t="b">
        <v>0</v>
      </c>
      <c r="J107" s="89"/>
      <c r="K107" s="89"/>
    </row>
    <row r="108" spans="2:11" x14ac:dyDescent="0.3">
      <c r="C108" s="10">
        <v>61</v>
      </c>
      <c r="D108" s="10">
        <v>2404087</v>
      </c>
      <c r="E108" s="10" t="s">
        <v>20</v>
      </c>
      <c r="F108" s="10">
        <v>3.1899999999999998E-2</v>
      </c>
      <c r="G108" s="10">
        <v>0.96809999999999996</v>
      </c>
      <c r="H108" s="10" t="s">
        <v>38</v>
      </c>
      <c r="I108" s="10" t="b">
        <v>0</v>
      </c>
    </row>
    <row r="109" spans="2:11" ht="14.4" customHeight="1" x14ac:dyDescent="0.3">
      <c r="C109" s="10">
        <v>22</v>
      </c>
      <c r="D109" s="10">
        <v>2404034</v>
      </c>
      <c r="E109" s="10" t="s">
        <v>20</v>
      </c>
      <c r="F109" s="10">
        <v>3.09E-2</v>
      </c>
      <c r="G109" s="10">
        <v>0.96909999999999996</v>
      </c>
      <c r="H109" s="10" t="s">
        <v>38</v>
      </c>
      <c r="I109" s="10" t="b">
        <v>0</v>
      </c>
    </row>
    <row r="110" spans="2:11" x14ac:dyDescent="0.3">
      <c r="C110" s="10">
        <v>72</v>
      </c>
      <c r="D110" s="10">
        <v>2404102</v>
      </c>
      <c r="E110" s="10" t="s">
        <v>20</v>
      </c>
      <c r="F110" s="10">
        <v>2.9700000000000001E-2</v>
      </c>
      <c r="G110" s="10">
        <v>0.97030000000000005</v>
      </c>
      <c r="H110" s="10" t="s">
        <v>38</v>
      </c>
      <c r="I110" s="10" t="b">
        <v>0</v>
      </c>
    </row>
    <row r="111" spans="2:11" ht="14.4" customHeight="1" x14ac:dyDescent="0.3">
      <c r="C111" s="10">
        <v>124</v>
      </c>
      <c r="D111" s="10">
        <v>2404168</v>
      </c>
      <c r="E111" s="10" t="s">
        <v>20</v>
      </c>
      <c r="F111" s="10">
        <v>2.9600000000000001E-2</v>
      </c>
      <c r="G111" s="10">
        <v>0.97040000000000004</v>
      </c>
      <c r="H111" s="10" t="s">
        <v>38</v>
      </c>
      <c r="I111" s="10" t="b">
        <v>0</v>
      </c>
    </row>
    <row r="112" spans="2:11" x14ac:dyDescent="0.3">
      <c r="C112" s="10">
        <v>57</v>
      </c>
      <c r="D112" s="10">
        <v>2404083</v>
      </c>
      <c r="E112" s="10" t="s">
        <v>20</v>
      </c>
      <c r="F112" s="10">
        <v>2.87E-2</v>
      </c>
      <c r="G112" s="10">
        <v>0.97130000000000005</v>
      </c>
      <c r="H112" s="10" t="s">
        <v>33</v>
      </c>
      <c r="I112" s="10" t="b">
        <v>0</v>
      </c>
    </row>
    <row r="113" spans="1:11" x14ac:dyDescent="0.3">
      <c r="C113" s="10">
        <v>81</v>
      </c>
      <c r="D113" s="10">
        <v>2404114</v>
      </c>
      <c r="E113" s="10" t="s">
        <v>20</v>
      </c>
      <c r="F113" s="10">
        <v>2.81E-2</v>
      </c>
      <c r="G113" s="10">
        <v>0.97189999999999999</v>
      </c>
      <c r="H113" s="10" t="s">
        <v>33</v>
      </c>
      <c r="I113" s="10" t="b">
        <v>0</v>
      </c>
    </row>
    <row r="114" spans="1:11" x14ac:dyDescent="0.3">
      <c r="C114" s="10">
        <v>27</v>
      </c>
      <c r="D114" s="10">
        <v>2404040</v>
      </c>
      <c r="E114" s="10" t="s">
        <v>20</v>
      </c>
      <c r="F114" s="10">
        <v>2.6499999999999999E-2</v>
      </c>
      <c r="G114" s="10">
        <v>0.97350000000000003</v>
      </c>
      <c r="H114" s="10" t="s">
        <v>38</v>
      </c>
      <c r="I114" s="10" t="b">
        <v>0</v>
      </c>
    </row>
    <row r="115" spans="1:11" x14ac:dyDescent="0.3">
      <c r="C115" s="10">
        <v>17</v>
      </c>
      <c r="D115" s="10">
        <v>2404024</v>
      </c>
      <c r="E115" s="10" t="s">
        <v>20</v>
      </c>
      <c r="F115" s="10">
        <v>2.63E-2</v>
      </c>
      <c r="G115" s="10">
        <v>0.97370000000000001</v>
      </c>
      <c r="H115" s="10" t="s">
        <v>26</v>
      </c>
      <c r="I115" s="10" t="b">
        <v>0</v>
      </c>
    </row>
    <row r="116" spans="1:11" x14ac:dyDescent="0.3">
      <c r="C116" s="10">
        <v>47</v>
      </c>
      <c r="D116" s="10">
        <v>2404066</v>
      </c>
      <c r="E116" s="10" t="s">
        <v>20</v>
      </c>
      <c r="F116" s="10">
        <v>2.63E-2</v>
      </c>
      <c r="G116" s="10">
        <v>0.97370000000000001</v>
      </c>
      <c r="H116" s="10" t="s">
        <v>38</v>
      </c>
      <c r="I116" s="10" t="b">
        <v>0</v>
      </c>
    </row>
    <row r="117" spans="1:11" ht="14.4" customHeight="1" x14ac:dyDescent="0.3">
      <c r="A117" s="89"/>
      <c r="B117" s="89"/>
      <c r="C117" s="89">
        <v>10</v>
      </c>
      <c r="D117" s="89">
        <v>2404014</v>
      </c>
      <c r="E117" s="89" t="s">
        <v>20</v>
      </c>
      <c r="F117" s="89">
        <v>2.6100000000000002E-2</v>
      </c>
      <c r="G117" s="89">
        <v>0.97389999999999999</v>
      </c>
      <c r="H117" s="89" t="s">
        <v>31</v>
      </c>
      <c r="I117" s="89" t="b">
        <v>0</v>
      </c>
      <c r="J117" s="89"/>
      <c r="K117" s="89"/>
    </row>
    <row r="118" spans="1:11" x14ac:dyDescent="0.3">
      <c r="C118" s="10">
        <v>58</v>
      </c>
      <c r="D118" s="10">
        <v>2404084</v>
      </c>
      <c r="E118" s="10" t="s">
        <v>20</v>
      </c>
      <c r="F118" s="10">
        <v>2.5999999999999999E-2</v>
      </c>
      <c r="G118" s="10">
        <v>0.97399999999999998</v>
      </c>
      <c r="H118" s="10" t="s">
        <v>38</v>
      </c>
      <c r="I118" s="10" t="b">
        <v>0</v>
      </c>
    </row>
    <row r="119" spans="1:11" x14ac:dyDescent="0.3">
      <c r="C119" s="10">
        <v>99</v>
      </c>
      <c r="D119" s="10">
        <v>2404138</v>
      </c>
      <c r="E119" s="10" t="s">
        <v>20</v>
      </c>
      <c r="F119" s="10">
        <v>2.58E-2</v>
      </c>
      <c r="G119" s="10">
        <v>0.97419999999999995</v>
      </c>
      <c r="H119" s="10" t="s">
        <v>38</v>
      </c>
      <c r="I119" s="10" t="b">
        <v>0</v>
      </c>
    </row>
    <row r="120" spans="1:11" x14ac:dyDescent="0.3">
      <c r="C120" s="10">
        <v>63</v>
      </c>
      <c r="D120" s="10">
        <v>2404089</v>
      </c>
      <c r="E120" s="10" t="s">
        <v>20</v>
      </c>
      <c r="F120" s="10">
        <v>2.2200000000000001E-2</v>
      </c>
      <c r="G120" s="10">
        <v>0.9778</v>
      </c>
      <c r="H120" s="10" t="s">
        <v>38</v>
      </c>
      <c r="I120" s="10" t="b">
        <v>0</v>
      </c>
    </row>
    <row r="121" spans="1:11" x14ac:dyDescent="0.3">
      <c r="C121" s="10">
        <v>85</v>
      </c>
      <c r="D121" s="10">
        <v>2404118</v>
      </c>
      <c r="E121" s="10" t="s">
        <v>20</v>
      </c>
      <c r="F121" s="10">
        <v>1.9599999999999999E-2</v>
      </c>
      <c r="G121" s="10">
        <v>0.98040000000000005</v>
      </c>
      <c r="H121" s="10" t="s">
        <v>38</v>
      </c>
      <c r="I121" s="10" t="b">
        <v>0</v>
      </c>
    </row>
    <row r="122" spans="1:11" x14ac:dyDescent="0.3">
      <c r="A122" s="89"/>
      <c r="C122" s="10">
        <v>7</v>
      </c>
      <c r="D122" s="10">
        <v>2404011</v>
      </c>
      <c r="E122" s="10" t="s">
        <v>20</v>
      </c>
      <c r="F122" s="10">
        <v>1.9400000000000001E-2</v>
      </c>
      <c r="G122" s="10">
        <v>0.98060000000000003</v>
      </c>
      <c r="H122" s="10" t="s">
        <v>33</v>
      </c>
      <c r="I122" s="10" t="b">
        <v>0</v>
      </c>
    </row>
    <row r="123" spans="1:11" x14ac:dyDescent="0.3">
      <c r="C123" s="10">
        <v>56</v>
      </c>
      <c r="D123" s="10">
        <v>2404082</v>
      </c>
      <c r="E123" s="10" t="s">
        <v>20</v>
      </c>
      <c r="F123" s="10">
        <v>1.7100000000000001E-2</v>
      </c>
      <c r="G123" s="10">
        <v>0.9829</v>
      </c>
      <c r="H123" s="10" t="s">
        <v>38</v>
      </c>
      <c r="I123" s="10" t="b">
        <v>0</v>
      </c>
    </row>
  </sheetData>
  <autoFilter ref="A1:K123" xr:uid="{00000000-0001-0000-0000-000000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</vt:lpstr>
      <vt:lpstr>Totals_long</vt:lpstr>
      <vt:lpstr>Totals_wide</vt:lpstr>
      <vt:lpstr>ALL_SCORES</vt:lpstr>
      <vt:lpstr>HICEAS17</vt:lpstr>
      <vt:lpstr>HICEAS23</vt:lpstr>
      <vt:lpstr>SCOPE</vt:lpstr>
      <vt:lpstr>HICEAS17_SCORES</vt:lpstr>
      <vt:lpstr>HICEAS23_SCORES</vt:lpstr>
      <vt:lpstr>SCOPE24_SCORES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 Fregosi</dc:creator>
  <cp:lastModifiedBy>Reviewer</cp:lastModifiedBy>
  <dcterms:created xsi:type="dcterms:W3CDTF">2025-12-19T01:35:30Z</dcterms:created>
  <dcterms:modified xsi:type="dcterms:W3CDTF">2026-01-07T02:33:56Z</dcterms:modified>
</cp:coreProperties>
</file>