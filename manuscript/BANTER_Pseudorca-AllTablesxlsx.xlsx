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yvonne.barkley\Github\BANTER_Pseudorca\manuscript\"/>
    </mc:Choice>
  </mc:AlternateContent>
  <xr:revisionPtr revIDLastSave="0" documentId="13_ncr:1_{F106ECE8-F7DF-46D5-A0CC-77E0A6645308}" xr6:coauthVersionLast="47" xr6:coauthVersionMax="47" xr10:uidLastSave="{00000000-0000-0000-0000-000000000000}"/>
  <bookViews>
    <workbookView xWindow="39885" yWindow="6105" windowWidth="20475" windowHeight="13395" activeTab="1" xr2:uid="{00000000-000D-0000-FFFF-FFFF00000000}"/>
  </bookViews>
  <sheets>
    <sheet name="Threshold_Table" sheetId="4" r:id="rId1"/>
    <sheet name="SuppTable-TS1" sheetId="1" r:id="rId2"/>
    <sheet name="TableX-Results" sheetId="3" r:id="rId3"/>
    <sheet name="VVA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4" i="1" l="1"/>
  <c r="Q15" i="4"/>
  <c r="Q14" i="4"/>
  <c r="Q13" i="4"/>
  <c r="Q12" i="4"/>
  <c r="P15" i="4"/>
  <c r="P14" i="4"/>
  <c r="P13" i="4"/>
  <c r="P12" i="4"/>
  <c r="O15" i="4"/>
  <c r="O14" i="4"/>
  <c r="O13" i="4"/>
  <c r="O12" i="4"/>
  <c r="M14" i="4"/>
  <c r="M13" i="4"/>
  <c r="M12" i="4"/>
  <c r="L12" i="4"/>
  <c r="K14" i="4"/>
  <c r="K13" i="4"/>
  <c r="K12" i="4"/>
  <c r="I16" i="4"/>
  <c r="I15" i="4"/>
  <c r="I14" i="4"/>
  <c r="I13" i="4"/>
  <c r="I12" i="4"/>
  <c r="H16" i="4"/>
  <c r="H14" i="4"/>
  <c r="H15" i="4"/>
  <c r="H13" i="4"/>
  <c r="H12" i="4"/>
  <c r="G16" i="4"/>
  <c r="G15" i="4"/>
  <c r="G14" i="4"/>
  <c r="G13" i="4"/>
  <c r="G12" i="4"/>
  <c r="E16" i="4"/>
  <c r="E15" i="4"/>
  <c r="E14" i="4"/>
  <c r="E13" i="4"/>
  <c r="E12" i="4"/>
  <c r="D16" i="4"/>
  <c r="D15" i="4"/>
  <c r="D14" i="4"/>
  <c r="D13" i="4"/>
  <c r="D12" i="4"/>
  <c r="C16" i="4"/>
  <c r="C15" i="4"/>
  <c r="C14" i="4"/>
  <c r="C13" i="4"/>
  <c r="C12" i="4"/>
  <c r="E4" i="3"/>
  <c r="G6" i="2"/>
  <c r="G7" i="2"/>
  <c r="G5" i="2"/>
  <c r="F6" i="2"/>
  <c r="F7" i="2"/>
  <c r="F5" i="2"/>
  <c r="B31" i="3"/>
  <c r="B25" i="3"/>
  <c r="B26" i="3" s="1"/>
  <c r="B28" i="3" s="1"/>
  <c r="B24" i="3"/>
  <c r="D22" i="3"/>
  <c r="C22" i="3"/>
  <c r="B22" i="3"/>
  <c r="E21" i="3"/>
  <c r="E20" i="3"/>
  <c r="E19" i="3"/>
  <c r="B30" i="3" s="1"/>
  <c r="L4" i="3"/>
  <c r="J6" i="3"/>
  <c r="J5" i="3"/>
  <c r="J4" i="3"/>
  <c r="G5" i="3"/>
  <c r="G6" i="3"/>
  <c r="G4" i="3"/>
  <c r="E5" i="3"/>
  <c r="E6" i="3"/>
  <c r="D9" i="3"/>
  <c r="L5" i="3"/>
  <c r="L6" i="3"/>
  <c r="F9" i="3"/>
  <c r="C9" i="3"/>
  <c r="G9" i="3" l="1"/>
  <c r="E9" i="3"/>
  <c r="D1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Reviewer</author>
  </authors>
  <commentList>
    <comment ref="O2" authorId="0" shapeId="0" xr:uid="{F3D028D6-C6F0-40AC-98AD-084147D6A7A6}">
      <text>
        <r>
          <rPr>
            <b/>
            <sz val="9"/>
            <color indexed="81"/>
            <rFont val="Tahoma"/>
            <family val="2"/>
          </rPr>
          <t>Reviewer:</t>
        </r>
        <r>
          <rPr>
            <sz val="9"/>
            <color indexed="81"/>
            <rFont val="Tahoma"/>
            <family val="2"/>
          </rPr>
          <t xml:space="preserve">
YB - Not including since it's so variable and hard to understand.</t>
        </r>
      </text>
    </comment>
  </commentList>
</comments>
</file>

<file path=xl/sharedStrings.xml><?xml version="1.0" encoding="utf-8"?>
<sst xmlns="http://schemas.openxmlformats.org/spreadsheetml/2006/main" count="319" uniqueCount="176">
  <si>
    <t>Survey Year</t>
  </si>
  <si>
    <t>Study Region</t>
  </si>
  <si>
    <t>Hydrophone Type</t>
  </si>
  <si>
    <t>Minimum &amp; Maximum Hydrophone Spacing</t>
  </si>
  <si>
    <t>Hawaiian EEZ</t>
  </si>
  <si>
    <t>Main Hawaiian Islands</t>
  </si>
  <si>
    <t>Marianas Archipelago</t>
  </si>
  <si>
    <t>Oahu to Palmyra</t>
  </si>
  <si>
    <t>American Samoa - Palmyra Atoll - Oahu</t>
  </si>
  <si>
    <t>EDO EC65</t>
  </si>
  <si>
    <t>APC 42-1021</t>
  </si>
  <si>
    <t>HTI-96-MIN</t>
  </si>
  <si>
    <t>Papahānaumokuākea Marine National Monument</t>
  </si>
  <si>
    <t>Hydrophone Flat Frequency Response</t>
  </si>
  <si>
    <t>2.02.7b</t>
  </si>
  <si>
    <t>PAMGuard Version for Detection</t>
  </si>
  <si>
    <t>2.00.16</t>
  </si>
  <si>
    <t>2.01.05</t>
  </si>
  <si>
    <t>2.02.15</t>
  </si>
  <si>
    <t>Not Pc</t>
  </si>
  <si>
    <t xml:space="preserve"> Acoustically Only Pc</t>
  </si>
  <si>
    <t>Visually Verified Pc</t>
  </si>
  <si>
    <t>Total Events</t>
  </si>
  <si>
    <t>Events Remaining after signal quantity threshold</t>
  </si>
  <si>
    <t>Unids Classified as Pc</t>
  </si>
  <si>
    <t>% Decrease</t>
  </si>
  <si>
    <t>Cruise Number</t>
  </si>
  <si>
    <t>Events to Classify after SSC</t>
  </si>
  <si>
    <t>Differences</t>
  </si>
  <si>
    <t>Average Decrease</t>
  </si>
  <si>
    <t>No BWs included in total events here</t>
  </si>
  <si>
    <t xml:space="preserve">Total % Decrease to Pc  </t>
  </si>
  <si>
    <t>Total</t>
  </si>
  <si>
    <t>Reduced</t>
  </si>
  <si>
    <t>Pc</t>
  </si>
  <si>
    <t>reduction per cruise</t>
  </si>
  <si>
    <t>Removed from &lt;10</t>
  </si>
  <si>
    <t>SSC</t>
  </si>
  <si>
    <t>total removed</t>
  </si>
  <si>
    <t>Overall reduction %</t>
  </si>
  <si>
    <t>Average reduction %</t>
  </si>
  <si>
    <t>Median reduction %</t>
  </si>
  <si>
    <t>Jen Math :)</t>
  </si>
  <si>
    <t>Banter Threshold</t>
  </si>
  <si>
    <t xml:space="preserve">SA </t>
  </si>
  <si>
    <t xml:space="preserve">SSC </t>
  </si>
  <si>
    <t>69 (36)</t>
  </si>
  <si>
    <t>44 (11)</t>
  </si>
  <si>
    <t>55 (25)</t>
  </si>
  <si>
    <t>33 (0)</t>
  </si>
  <si>
    <t>51 (37)</t>
  </si>
  <si>
    <t>33 (19)</t>
  </si>
  <si>
    <t>30 (18)</t>
  </si>
  <si>
    <t>14 (0)</t>
  </si>
  <si>
    <t>14 (4)</t>
  </si>
  <si>
    <t>13 (3)</t>
  </si>
  <si>
    <t>11 (1)</t>
  </si>
  <si>
    <t>10 (0)</t>
  </si>
  <si>
    <t>134 (77)</t>
  </si>
  <si>
    <t>90 (33)</t>
  </si>
  <si>
    <t>96 (44)</t>
  </si>
  <si>
    <t>57 (0)</t>
  </si>
  <si>
    <t>55 (22)</t>
  </si>
  <si>
    <t>41 (8)</t>
  </si>
  <si>
    <t>44 (14)</t>
  </si>
  <si>
    <t>31 (21)</t>
  </si>
  <si>
    <t>17 (7)</t>
  </si>
  <si>
    <t>24 (14)</t>
  </si>
  <si>
    <t>10 (1)</t>
  </si>
  <si>
    <t>9 (0)</t>
  </si>
  <si>
    <t>67 (15)</t>
  </si>
  <si>
    <t>78 (29)</t>
  </si>
  <si>
    <t>52 (0)</t>
  </si>
  <si>
    <t>40 (11)</t>
  </si>
  <si>
    <t>33 (4)</t>
  </si>
  <si>
    <t>36 (7)</t>
  </si>
  <si>
    <t>29 (0)</t>
  </si>
  <si>
    <t>21 (13)</t>
  </si>
  <si>
    <t>12 (4)</t>
  </si>
  <si>
    <t>17 (9)</t>
  </si>
  <si>
    <t>8 (0)</t>
  </si>
  <si>
    <t>9 (1)</t>
  </si>
  <si>
    <t>70 (25)</t>
  </si>
  <si>
    <t>53 (8)</t>
  </si>
  <si>
    <t>62 (17)</t>
  </si>
  <si>
    <t>45 (0)</t>
  </si>
  <si>
    <t>27 (2)</t>
  </si>
  <si>
    <t>25 (0)</t>
  </si>
  <si>
    <t>6 (2)</t>
  </si>
  <si>
    <t>5 (1)</t>
  </si>
  <si>
    <t>4 (0)</t>
  </si>
  <si>
    <t>6 (0)</t>
  </si>
  <si>
    <t>39 (4)</t>
  </si>
  <si>
    <t>36 (1)</t>
  </si>
  <si>
    <t>38 (3)</t>
  </si>
  <si>
    <t>35 (0)</t>
  </si>
  <si>
    <t>3 (0)</t>
  </si>
  <si>
    <t>12 (0)</t>
  </si>
  <si>
    <t>Visually-Verified Acoustic Pseudorca Events</t>
  </si>
  <si>
    <t>8; 1</t>
  </si>
  <si>
    <t>10; 11</t>
  </si>
  <si>
    <t>SA &amp; SSC</t>
  </si>
  <si>
    <t xml:space="preserve">Sampling Rate </t>
  </si>
  <si>
    <t>192 kHz</t>
  </si>
  <si>
    <t>500 kHz</t>
  </si>
  <si>
    <t>2 - 40 kHz</t>
  </si>
  <si>
    <t>2 – 85 kHz</t>
  </si>
  <si>
    <t>Total Recording Hours</t>
  </si>
  <si>
    <t>Southeast of Hawaiian EEZ</t>
  </si>
  <si>
    <t>1641; 1642</t>
  </si>
  <si>
    <t>1705; 1706</t>
  </si>
  <si>
    <t>2303; 2401</t>
  </si>
  <si>
    <t>Total Encounters for Sensitivity Analysis</t>
  </si>
  <si>
    <t>NA</t>
  </si>
  <si>
    <t>Should sum to 270</t>
  </si>
  <si>
    <t>Bradford, A. L., Oleson, E. M., Forney, K. A., Moore, J. E., &amp; Barlow, J. (2021). Line-transect abundance estimates of cetaceans in US waters around the Hawaiian Islands in 2002, 2010, and 2017. NOAA Technical Memorandum NMFS-PIFSC-115</t>
  </si>
  <si>
    <t>Yano, K. M., Oleson, E. M., McCullough, J. L., Hill, M. C., &amp; Henry, A. E. (2020). Cetacean and seabird data collected during the Winter Hawaiian Islands Cetacean and Ecosystem Assessment Survey (Winter HICEAS), January–March 2020. NOAA Technical Memorandum NMFS-PIFSC-111</t>
  </si>
  <si>
    <t>References for further survey information</t>
  </si>
  <si>
    <r>
      <t>Barkley, Y., Oleson, E. M., Oswald, J. N., &amp; Franklin, E. C. (2019). Whistle classification of sympatric false killer whale populations in Hawaiian waters yields low accuracy rates. </t>
    </r>
    <r>
      <rPr>
        <i/>
        <sz val="8"/>
        <color rgb="FF222222"/>
        <rFont val="Arial"/>
        <family val="2"/>
      </rPr>
      <t>Frontiers in Marine Science</t>
    </r>
    <r>
      <rPr>
        <sz val="8"/>
        <color rgb="FF222222"/>
        <rFont val="Arial"/>
        <family val="2"/>
      </rPr>
      <t>, </t>
    </r>
    <r>
      <rPr>
        <i/>
        <sz val="8"/>
        <color rgb="FF222222"/>
        <rFont val="Arial"/>
        <family val="2"/>
      </rPr>
      <t>6</t>
    </r>
    <r>
      <rPr>
        <sz val="8"/>
        <color rgb="FF222222"/>
        <rFont val="Arial"/>
        <family val="2"/>
      </rPr>
      <t>, 645.</t>
    </r>
  </si>
  <si>
    <t>Yano, K. M., Oleson, E. M., McCullough, J. L., Hill, M. C., Bradford, A. L., Joyce, T. W., ... &amp; Henry, A. E. (2025). Cetacean and Seabird Data Collected During the Hawaiian Islands Cetacean and Ecosystem Assessment Survey (HICEAS), July–December 2023.  NOAA Technical Memorandum NMFS-PIFSC-175</t>
  </si>
  <si>
    <t>Yano, K. M., Hill, M. C., Oleson, E. M., McCullough, J. L., &amp; Henry, A. E. (2022). Cetacean and Seabird Data Collected During the Mariana Archipelago Cetacean Survey (MACS), May–July 2021.  NOAA Technical Memorandum NMFS-PIFSC-128</t>
  </si>
  <si>
    <t>Yano, K. M., Oleson, E. M., Keating, J. L., Ballance, L. T., Hill, M. C., Bradford, A. L., Allen, A. N., Joyce, T. W., Moore, J. E., &amp; Henry, A. E. (2018). Cetacean and Seabird Data Collected during the Hawaiian Islands Cetacean and Ecosystem Assessment Survey (HICEAS), July—December 2017. NOAA Technical Memorandum NMFS-PIFSC-72</t>
  </si>
  <si>
    <t>Baseline</t>
  </si>
  <si>
    <t>69 (52%)</t>
  </si>
  <si>
    <t>55 (40%)</t>
  </si>
  <si>
    <t>40 (28%)</t>
  </si>
  <si>
    <t>27 (7%)</t>
  </si>
  <si>
    <t>44 (25%)</t>
  </si>
  <si>
    <t>41 (20%)</t>
  </si>
  <si>
    <t>33 (12%)</t>
  </si>
  <si>
    <t>55 (45%)</t>
  </si>
  <si>
    <t>44 (32%)</t>
  </si>
  <si>
    <t>36 (19%)</t>
  </si>
  <si>
    <t>6 (0%)</t>
  </si>
  <si>
    <t>25 (0%)</t>
  </si>
  <si>
    <t>33 (0%)</t>
  </si>
  <si>
    <t>29 (0%)</t>
  </si>
  <si>
    <t>3 (0%)</t>
  </si>
  <si>
    <t>4 (0%)</t>
  </si>
  <si>
    <t>8 (0%)</t>
  </si>
  <si>
    <t>10 (0%)</t>
  </si>
  <si>
    <t>14 (0%)</t>
  </si>
  <si>
    <t>9 (0%)</t>
  </si>
  <si>
    <t>12 (0%)</t>
  </si>
  <si>
    <t>57 (0%)</t>
  </si>
  <si>
    <t>52 (0%)</t>
  </si>
  <si>
    <t>45 (0%)</t>
  </si>
  <si>
    <t>35 (0%)</t>
  </si>
  <si>
    <t>51 (73%)</t>
  </si>
  <si>
    <t>31 (68%)</t>
  </si>
  <si>
    <t>21 (62%)</t>
  </si>
  <si>
    <t>6 (33%)</t>
  </si>
  <si>
    <t>33 (58%)</t>
  </si>
  <si>
    <t>17 (41%)</t>
  </si>
  <si>
    <t>12 (33%)</t>
  </si>
  <si>
    <t>5 (20%)</t>
  </si>
  <si>
    <t>30 (60%)</t>
  </si>
  <si>
    <t>24 (58%)</t>
  </si>
  <si>
    <t>17 (53%)</t>
  </si>
  <si>
    <t>14 (29%)</t>
  </si>
  <si>
    <t>10 (10%)</t>
  </si>
  <si>
    <t>9 (11%)</t>
  </si>
  <si>
    <t>13 (23%)</t>
  </si>
  <si>
    <t>11 (9%)</t>
  </si>
  <si>
    <t>134 (57%)</t>
  </si>
  <si>
    <t>96 (46%)</t>
  </si>
  <si>
    <t>70 (36%)</t>
  </si>
  <si>
    <t>39 (10%)</t>
  </si>
  <si>
    <t>90 (37%)</t>
  </si>
  <si>
    <t>67 (22%)</t>
  </si>
  <si>
    <t>53 (15%)</t>
  </si>
  <si>
    <t>36 (3%)</t>
  </si>
  <si>
    <t>78 (37%)</t>
  </si>
  <si>
    <t>62 (27%)</t>
  </si>
  <si>
    <t>38 (8%)</t>
  </si>
  <si>
    <t>Classification 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</si>
</sst>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rgb="FF222222"/>
      <name val="Arial"/>
      <family val="2"/>
    </font>
    <font>
      <i/>
      <sz val="8"/>
      <color rgb="FF222222"/>
      <name val="Arial"/>
      <family val="2"/>
    </font>
    <font>
      <sz val="8"/>
      <color theme="1"/>
      <name val="Arial"/>
      <family val="2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/>
    <xf numFmtId="0" fontId="0" fillId="2" borderId="7" xfId="0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4" xfId="0" applyFill="1" applyBorder="1"/>
    <xf numFmtId="0" fontId="0" fillId="2" borderId="7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/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9" xfId="0" applyFont="1" applyFill="1" applyBorder="1" applyAlignment="1">
      <alignment wrapText="1"/>
    </xf>
    <xf numFmtId="0" fontId="0" fillId="2" borderId="9" xfId="0" applyFill="1" applyBorder="1"/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vertical="center" wrapText="1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left"/>
    </xf>
    <xf numFmtId="0" fontId="5" fillId="0" borderId="11" xfId="0" applyFont="1" applyBorder="1" applyAlignment="1">
      <alignment horizontal="left"/>
    </xf>
    <xf numFmtId="0" fontId="5" fillId="0" borderId="11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wrapText="1"/>
    </xf>
    <xf numFmtId="0" fontId="13" fillId="0" borderId="1" xfId="0" applyFont="1" applyBorder="1" applyAlignment="1">
      <alignment wrapText="1"/>
    </xf>
    <xf numFmtId="0" fontId="6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2" fontId="14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5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3" borderId="13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14" xfId="0" applyFont="1" applyFill="1" applyBorder="1" applyAlignment="1">
      <alignment horizontal="center"/>
    </xf>
    <xf numFmtId="0" fontId="6" fillId="3" borderId="15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0" fontId="5" fillId="2" borderId="18" xfId="0" applyFont="1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2" borderId="12" xfId="0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6" fillId="2" borderId="17" xfId="0" applyFont="1" applyFill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0" fillId="0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82A36-BAB4-4DA2-945D-9C525C938092}">
  <dimension ref="B1:R28"/>
  <sheetViews>
    <sheetView topLeftCell="A16" zoomScale="80" zoomScaleNormal="80" workbookViewId="0">
      <selection activeCell="E25" sqref="E25"/>
    </sheetView>
  </sheetViews>
  <sheetFormatPr defaultColWidth="9.140625" defaultRowHeight="15" x14ac:dyDescent="0.25"/>
  <cols>
    <col min="1" max="1" width="9.140625" style="23"/>
    <col min="2" max="2" width="16.7109375" style="22" customWidth="1"/>
    <col min="3" max="18" width="12.42578125" style="23" customWidth="1"/>
    <col min="19" max="16384" width="9.140625" style="23"/>
  </cols>
  <sheetData>
    <row r="1" spans="2:18" ht="15.75" thickBot="1" x14ac:dyDescent="0.3"/>
    <row r="2" spans="2:18" ht="21.75" thickBot="1" x14ac:dyDescent="0.4">
      <c r="B2" s="25"/>
      <c r="C2" s="26" t="s">
        <v>0</v>
      </c>
      <c r="D2" s="27"/>
      <c r="E2" s="27"/>
      <c r="F2" s="27"/>
      <c r="G2" s="28"/>
      <c r="H2" s="28"/>
      <c r="I2" s="28"/>
      <c r="J2" s="28"/>
      <c r="K2" s="28"/>
      <c r="L2" s="29"/>
      <c r="M2" s="29"/>
      <c r="N2" s="29"/>
      <c r="O2" s="29"/>
      <c r="P2" s="30"/>
      <c r="Q2" s="29"/>
      <c r="R2" s="31"/>
    </row>
    <row r="3" spans="2:18" ht="42" x14ac:dyDescent="0.35">
      <c r="B3" s="43" t="s">
        <v>43</v>
      </c>
      <c r="C3" s="32">
        <v>2017</v>
      </c>
      <c r="D3" s="28"/>
      <c r="E3" s="28"/>
      <c r="F3" s="33"/>
      <c r="G3" s="32">
        <v>2023</v>
      </c>
      <c r="H3" s="28"/>
      <c r="I3" s="28"/>
      <c r="J3" s="33"/>
      <c r="K3" s="32">
        <v>2024</v>
      </c>
      <c r="L3" s="29"/>
      <c r="M3" s="29"/>
      <c r="N3" s="31"/>
      <c r="O3" s="32" t="s">
        <v>32</v>
      </c>
      <c r="P3" s="29"/>
      <c r="Q3" s="29"/>
      <c r="R3" s="31"/>
    </row>
    <row r="4" spans="2:18" ht="21" x14ac:dyDescent="0.35">
      <c r="B4" s="34"/>
      <c r="C4" s="35" t="s">
        <v>122</v>
      </c>
      <c r="D4" s="36" t="s">
        <v>44</v>
      </c>
      <c r="E4" s="36" t="s">
        <v>45</v>
      </c>
      <c r="F4" s="37" t="s">
        <v>101</v>
      </c>
      <c r="G4" s="35" t="s">
        <v>122</v>
      </c>
      <c r="H4" s="36" t="s">
        <v>44</v>
      </c>
      <c r="I4" s="36" t="s">
        <v>45</v>
      </c>
      <c r="J4" s="37" t="s">
        <v>101</v>
      </c>
      <c r="K4" s="54" t="s">
        <v>122</v>
      </c>
      <c r="L4" s="55" t="s">
        <v>44</v>
      </c>
      <c r="M4" s="55" t="s">
        <v>45</v>
      </c>
      <c r="N4" s="56" t="s">
        <v>101</v>
      </c>
      <c r="O4" s="35" t="s">
        <v>122</v>
      </c>
      <c r="P4" s="36" t="s">
        <v>44</v>
      </c>
      <c r="Q4" s="36" t="s">
        <v>45</v>
      </c>
      <c r="R4" s="37" t="s">
        <v>101</v>
      </c>
    </row>
    <row r="5" spans="2:18" ht="21" x14ac:dyDescent="0.35">
      <c r="B5" s="38">
        <v>0.5</v>
      </c>
      <c r="C5" s="35" t="s">
        <v>46</v>
      </c>
      <c r="D5" s="36" t="s">
        <v>47</v>
      </c>
      <c r="E5" s="36" t="s">
        <v>48</v>
      </c>
      <c r="F5" s="37" t="s">
        <v>49</v>
      </c>
      <c r="G5" s="35" t="s">
        <v>50</v>
      </c>
      <c r="H5" s="36" t="s">
        <v>51</v>
      </c>
      <c r="I5" s="36" t="s">
        <v>52</v>
      </c>
      <c r="J5" s="37" t="s">
        <v>53</v>
      </c>
      <c r="K5" s="54" t="s">
        <v>54</v>
      </c>
      <c r="L5" s="55" t="s">
        <v>55</v>
      </c>
      <c r="M5" s="55" t="s">
        <v>56</v>
      </c>
      <c r="N5" s="56" t="s">
        <v>57</v>
      </c>
      <c r="O5" s="35" t="s">
        <v>58</v>
      </c>
      <c r="P5" s="36" t="s">
        <v>59</v>
      </c>
      <c r="Q5" s="36" t="s">
        <v>60</v>
      </c>
      <c r="R5" s="37" t="s">
        <v>61</v>
      </c>
    </row>
    <row r="6" spans="2:18" ht="21" x14ac:dyDescent="0.35">
      <c r="B6" s="38">
        <v>0.6</v>
      </c>
      <c r="C6" s="35" t="s">
        <v>62</v>
      </c>
      <c r="D6" s="36" t="s">
        <v>63</v>
      </c>
      <c r="E6" s="36" t="s">
        <v>64</v>
      </c>
      <c r="F6" s="37" t="s">
        <v>49</v>
      </c>
      <c r="G6" s="35" t="s">
        <v>65</v>
      </c>
      <c r="H6" s="36" t="s">
        <v>66</v>
      </c>
      <c r="I6" s="36" t="s">
        <v>67</v>
      </c>
      <c r="J6" s="37" t="s">
        <v>57</v>
      </c>
      <c r="K6" s="54" t="s">
        <v>68</v>
      </c>
      <c r="L6" s="55" t="s">
        <v>69</v>
      </c>
      <c r="M6" s="55" t="s">
        <v>68</v>
      </c>
      <c r="N6" s="56" t="s">
        <v>69</v>
      </c>
      <c r="O6" s="35" t="s">
        <v>60</v>
      </c>
      <c r="P6" s="36" t="s">
        <v>70</v>
      </c>
      <c r="Q6" s="36" t="s">
        <v>71</v>
      </c>
      <c r="R6" s="37" t="s">
        <v>72</v>
      </c>
    </row>
    <row r="7" spans="2:18" ht="21" x14ac:dyDescent="0.35">
      <c r="B7" s="38">
        <v>0.7</v>
      </c>
      <c r="C7" s="35" t="s">
        <v>73</v>
      </c>
      <c r="D7" s="36" t="s">
        <v>74</v>
      </c>
      <c r="E7" s="36" t="s">
        <v>75</v>
      </c>
      <c r="F7" s="37" t="s">
        <v>76</v>
      </c>
      <c r="G7" s="35" t="s">
        <v>77</v>
      </c>
      <c r="H7" s="36" t="s">
        <v>78</v>
      </c>
      <c r="I7" s="36" t="s">
        <v>79</v>
      </c>
      <c r="J7" s="37" t="s">
        <v>80</v>
      </c>
      <c r="K7" s="54" t="s">
        <v>81</v>
      </c>
      <c r="L7" s="55" t="s">
        <v>80</v>
      </c>
      <c r="M7" s="55" t="s">
        <v>81</v>
      </c>
      <c r="N7" s="56" t="s">
        <v>80</v>
      </c>
      <c r="O7" s="35" t="s">
        <v>82</v>
      </c>
      <c r="P7" s="36" t="s">
        <v>83</v>
      </c>
      <c r="Q7" s="36" t="s">
        <v>84</v>
      </c>
      <c r="R7" s="37" t="s">
        <v>85</v>
      </c>
    </row>
    <row r="8" spans="2:18" ht="21" x14ac:dyDescent="0.35">
      <c r="B8" s="38">
        <v>0.8</v>
      </c>
      <c r="C8" s="35" t="s">
        <v>86</v>
      </c>
      <c r="D8" s="36" t="s">
        <v>87</v>
      </c>
      <c r="E8" s="36" t="s">
        <v>86</v>
      </c>
      <c r="F8" s="37" t="s">
        <v>87</v>
      </c>
      <c r="G8" s="35" t="s">
        <v>88</v>
      </c>
      <c r="H8" s="36" t="s">
        <v>89</v>
      </c>
      <c r="I8" s="36" t="s">
        <v>89</v>
      </c>
      <c r="J8" s="37" t="s">
        <v>90</v>
      </c>
      <c r="K8" s="54" t="s">
        <v>91</v>
      </c>
      <c r="L8" s="55" t="s">
        <v>91</v>
      </c>
      <c r="M8" s="55" t="s">
        <v>91</v>
      </c>
      <c r="N8" s="56" t="s">
        <v>91</v>
      </c>
      <c r="O8" s="35" t="s">
        <v>92</v>
      </c>
      <c r="P8" s="36" t="s">
        <v>93</v>
      </c>
      <c r="Q8" s="36" t="s">
        <v>94</v>
      </c>
      <c r="R8" s="37" t="s">
        <v>95</v>
      </c>
    </row>
    <row r="9" spans="2:18" ht="21.75" thickBot="1" x14ac:dyDescent="0.4">
      <c r="B9" s="39">
        <v>0.9</v>
      </c>
      <c r="C9" s="40" t="s">
        <v>91</v>
      </c>
      <c r="D9" s="41" t="s">
        <v>91</v>
      </c>
      <c r="E9" s="41" t="s">
        <v>91</v>
      </c>
      <c r="F9" s="42" t="s">
        <v>91</v>
      </c>
      <c r="G9" s="40" t="s">
        <v>96</v>
      </c>
      <c r="H9" s="41" t="s">
        <v>96</v>
      </c>
      <c r="I9" s="41" t="s">
        <v>96</v>
      </c>
      <c r="J9" s="42" t="s">
        <v>96</v>
      </c>
      <c r="K9" s="57" t="s">
        <v>96</v>
      </c>
      <c r="L9" s="58" t="s">
        <v>96</v>
      </c>
      <c r="M9" s="58" t="s">
        <v>96</v>
      </c>
      <c r="N9" s="59" t="s">
        <v>96</v>
      </c>
      <c r="O9" s="40" t="s">
        <v>97</v>
      </c>
      <c r="P9" s="41" t="s">
        <v>97</v>
      </c>
      <c r="Q9" s="41" t="s">
        <v>97</v>
      </c>
      <c r="R9" s="42" t="s">
        <v>97</v>
      </c>
    </row>
    <row r="10" spans="2:18" ht="21" x14ac:dyDescent="0.35">
      <c r="B10" s="52"/>
      <c r="C10" s="53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</row>
    <row r="11" spans="2:18" ht="21" x14ac:dyDescent="0.35">
      <c r="C11" s="48"/>
    </row>
    <row r="12" spans="2:18" s="49" customFormat="1" ht="23.25" x14ac:dyDescent="0.35">
      <c r="C12" s="50">
        <f>36/VALUE(TRIM(LEFT(C5, FIND("(", C5) - 1)))</f>
        <v>0.52173913043478259</v>
      </c>
      <c r="D12" s="50">
        <f>11/VALUE(TRIM(LEFT(D5, FIND("(", D5) - 1)))</f>
        <v>0.25</v>
      </c>
      <c r="E12" s="50">
        <f>25/VALUE(TRIM(LEFT(E5, FIND("(", E5) - 1)))</f>
        <v>0.45454545454545453</v>
      </c>
      <c r="F12" s="50">
        <v>0</v>
      </c>
      <c r="G12" s="50">
        <f>37/VALUE(TRIM(LEFT(G5, FIND("(", G5) - 1)))</f>
        <v>0.72549019607843135</v>
      </c>
      <c r="H12" s="50">
        <f>19/VALUE(TRIM(LEFT(H5, FIND("(", H5) - 1)))</f>
        <v>0.5757575757575758</v>
      </c>
      <c r="I12" s="50">
        <f>18/VALUE(TRIM(LEFT(I5, FIND("(", I5) - 1)))</f>
        <v>0.6</v>
      </c>
      <c r="J12" s="50">
        <v>0</v>
      </c>
      <c r="K12" s="50">
        <f>4/VALUE(TRIM(LEFT(K5, FIND("(", K5) - 1)))</f>
        <v>0.2857142857142857</v>
      </c>
      <c r="L12" s="50">
        <f>3/VALUE(TRIM(LEFT(L5, FIND("(", L5) - 1)))</f>
        <v>0.23076923076923078</v>
      </c>
      <c r="M12" s="50">
        <f>1/VALUE(TRIM(LEFT(M5, FIND("(", M5) - 1)))</f>
        <v>9.0909090909090912E-2</v>
      </c>
      <c r="N12" s="50">
        <v>0</v>
      </c>
      <c r="O12" s="50">
        <f>77/VALUE(TRIM(LEFT(O5, FIND("(", O5) - 1)))</f>
        <v>0.57462686567164178</v>
      </c>
      <c r="P12" s="50">
        <f>33/VALUE(TRIM(LEFT(P5, FIND("(", P5) - 1)))</f>
        <v>0.36666666666666664</v>
      </c>
      <c r="Q12" s="50">
        <f>44/VALUE(TRIM(LEFT(Q5, FIND("(", Q5) - 1)))</f>
        <v>0.45833333333333331</v>
      </c>
      <c r="R12" s="50">
        <v>0</v>
      </c>
    </row>
    <row r="13" spans="2:18" s="49" customFormat="1" ht="23.25" x14ac:dyDescent="0.35">
      <c r="B13" s="51"/>
      <c r="C13" s="50">
        <f>22/VALUE(TRIM(LEFT(C6, FIND("(", C6) - 1)))</f>
        <v>0.4</v>
      </c>
      <c r="D13" s="50">
        <f>8/VALUE(TRIM(LEFT(D6, FIND("(", D6) - 1)))</f>
        <v>0.1951219512195122</v>
      </c>
      <c r="E13" s="50">
        <f>14/VALUE(TRIM(LEFT(E6, FIND("(", E6) - 1)))</f>
        <v>0.31818181818181818</v>
      </c>
      <c r="F13" s="50">
        <v>0</v>
      </c>
      <c r="G13" s="50">
        <f>21/VALUE(TRIM(LEFT(G6, FIND("(", G6) - 1)))</f>
        <v>0.67741935483870963</v>
      </c>
      <c r="H13" s="50">
        <f>7/VALUE(TRIM(LEFT(H6, FIND("(", H6) - 1)))</f>
        <v>0.41176470588235292</v>
      </c>
      <c r="I13" s="50">
        <f>14/VALUE(TRIM(LEFT(I6, FIND("(", I6) - 1)))</f>
        <v>0.58333333333333337</v>
      </c>
      <c r="J13" s="50">
        <v>0</v>
      </c>
      <c r="K13" s="50">
        <f>1/VALUE(TRIM(LEFT(K6, FIND("(", K6) - 1)))</f>
        <v>0.1</v>
      </c>
      <c r="L13" s="50">
        <v>0</v>
      </c>
      <c r="M13" s="50">
        <f>1/VALUE(TRIM(LEFT(M6, FIND("(", M6) - 1)))</f>
        <v>0.1</v>
      </c>
      <c r="N13" s="50">
        <v>0</v>
      </c>
      <c r="O13" s="50">
        <f>44/VALUE(TRIM(LEFT(O6, FIND("(", O6) - 1)))</f>
        <v>0.45833333333333331</v>
      </c>
      <c r="P13" s="50">
        <f>15/VALUE(TRIM(LEFT(P6, FIND("(", P6) - 1)))</f>
        <v>0.22388059701492538</v>
      </c>
      <c r="Q13" s="50">
        <f>29/VALUE(TRIM(LEFT(Q6, FIND("(", Q6) - 1)))</f>
        <v>0.37179487179487181</v>
      </c>
      <c r="R13" s="50">
        <v>0</v>
      </c>
    </row>
    <row r="14" spans="2:18" s="49" customFormat="1" ht="23.25" x14ac:dyDescent="0.35">
      <c r="B14" s="51"/>
      <c r="C14" s="50">
        <f>11/VALUE(TRIM(LEFT(C7, FIND("(", C7) - 1)))</f>
        <v>0.27500000000000002</v>
      </c>
      <c r="D14" s="50">
        <f>4/VALUE(TRIM(LEFT(D7, FIND("(", D7) - 1)))</f>
        <v>0.12121212121212122</v>
      </c>
      <c r="E14" s="50">
        <f>7/VALUE(TRIM(LEFT(E7, FIND("(", E7) - 1)))</f>
        <v>0.19444444444444445</v>
      </c>
      <c r="F14" s="50">
        <v>0</v>
      </c>
      <c r="G14" s="50">
        <f>13/VALUE(TRIM(LEFT(G7, FIND("(", G7) - 1)))</f>
        <v>0.61904761904761907</v>
      </c>
      <c r="H14" s="50">
        <f>4/VALUE(TRIM(LEFT(H7, FIND("(", H7) - 1)))</f>
        <v>0.33333333333333331</v>
      </c>
      <c r="I14" s="50">
        <f>9/VALUE(TRIM(LEFT(I7, FIND("(", I7) - 1)))</f>
        <v>0.52941176470588236</v>
      </c>
      <c r="J14" s="50">
        <v>0</v>
      </c>
      <c r="K14" s="50">
        <f>1/VALUE(TRIM(LEFT(K7, FIND("(", K7) - 1)))</f>
        <v>0.1111111111111111</v>
      </c>
      <c r="L14" s="50">
        <v>0</v>
      </c>
      <c r="M14" s="50">
        <f>1/VALUE(TRIM(LEFT(M7, FIND("(", M7) - 1)))</f>
        <v>0.1111111111111111</v>
      </c>
      <c r="N14" s="50">
        <v>0</v>
      </c>
      <c r="O14" s="50">
        <f>25/VALUE(TRIM(LEFT(O7, FIND("(", O7) - 1)))</f>
        <v>0.35714285714285715</v>
      </c>
      <c r="P14" s="50">
        <f>8/VALUE(TRIM(LEFT(P7, FIND("(", P7) - 1)))</f>
        <v>0.15094339622641509</v>
      </c>
      <c r="Q14" s="50">
        <f>17/VALUE(TRIM(LEFT(Q7, FIND("(", Q7) - 1)))</f>
        <v>0.27419354838709675</v>
      </c>
      <c r="R14" s="50">
        <v>0</v>
      </c>
    </row>
    <row r="15" spans="2:18" s="49" customFormat="1" ht="23.25" x14ac:dyDescent="0.35">
      <c r="B15" s="51"/>
      <c r="C15" s="50">
        <f>2/VALUE(TRIM(LEFT(C8, FIND("(", C8) - 1)))</f>
        <v>7.407407407407407E-2</v>
      </c>
      <c r="D15" s="50">
        <f>0/VALUE(TRIM(LEFT(D8, FIND("(", D8) - 1)))</f>
        <v>0</v>
      </c>
      <c r="E15" s="50">
        <f>2/VALUE(TRIM(LEFT(E8, FIND("(", E8) - 1)))</f>
        <v>7.407407407407407E-2</v>
      </c>
      <c r="F15" s="50">
        <v>0</v>
      </c>
      <c r="G15" s="50">
        <f>2/VALUE(TRIM(LEFT(G8, FIND("(", G8) - 1)))</f>
        <v>0.33333333333333331</v>
      </c>
      <c r="H15" s="50">
        <f>1/VALUE(TRIM(LEFT(H8, FIND("(", H8) - 1)))</f>
        <v>0.2</v>
      </c>
      <c r="I15" s="50">
        <f>1/VALUE(TRIM(LEFT(I8, FIND("(", I8) - 1)))</f>
        <v>0.2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f>4/VALUE(TRIM(LEFT(O8, FIND("(", O8) - 1)))</f>
        <v>0.10256410256410256</v>
      </c>
      <c r="P15" s="50">
        <f>1/VALUE(TRIM(LEFT(P8, FIND("(", P8) - 1)))</f>
        <v>2.7777777777777776E-2</v>
      </c>
      <c r="Q15" s="50">
        <f>3/VALUE(TRIM(LEFT(Q8, FIND("(", Q8) - 1)))</f>
        <v>7.8947368421052627E-2</v>
      </c>
      <c r="R15" s="50">
        <v>0</v>
      </c>
    </row>
    <row r="16" spans="2:18" s="49" customFormat="1" ht="23.25" x14ac:dyDescent="0.35">
      <c r="B16" s="51"/>
      <c r="C16" s="50">
        <f>0/VALUE(TRIM(LEFT(C9, FIND("(", C9) - 1)))</f>
        <v>0</v>
      </c>
      <c r="D16" s="50">
        <f>0/VALUE(TRIM(LEFT(D9, FIND("(", D9) - 1)))</f>
        <v>0</v>
      </c>
      <c r="E16" s="50">
        <f>0/VALUE(TRIM(LEFT(E9, FIND("(", E9) - 1)))</f>
        <v>0</v>
      </c>
      <c r="F16" s="50">
        <v>0</v>
      </c>
      <c r="G16" s="50">
        <f>0/VALUE(TRIM(LEFT(G9, FIND("(", G9) - 1)))</f>
        <v>0</v>
      </c>
      <c r="H16" s="50">
        <f>0/VALUE(TRIM(LEFT(H9, FIND("(", H9) - 1)))</f>
        <v>0</v>
      </c>
      <c r="I16" s="50">
        <f>0/VALUE(TRIM(LEFT(I9, FIND("(", I9) - 1)))</f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  <c r="R16" s="50">
        <v>0</v>
      </c>
    </row>
    <row r="17" spans="2:18" s="49" customFormat="1" ht="23.25" x14ac:dyDescent="0.35">
      <c r="B17" s="51"/>
      <c r="C17" s="51"/>
      <c r="G17" s="51"/>
      <c r="K17" s="51"/>
      <c r="O17" s="51"/>
    </row>
    <row r="20" spans="2:18" ht="15.75" thickBot="1" x14ac:dyDescent="0.3"/>
    <row r="21" spans="2:18" ht="21.75" thickBot="1" x14ac:dyDescent="0.4">
      <c r="B21" s="25"/>
      <c r="C21" s="75" t="s">
        <v>0</v>
      </c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7"/>
    </row>
    <row r="22" spans="2:18" ht="42" x14ac:dyDescent="0.35">
      <c r="B22" s="60" t="s">
        <v>175</v>
      </c>
      <c r="C22" s="61">
        <v>2017</v>
      </c>
      <c r="D22" s="62"/>
      <c r="E22" s="62"/>
      <c r="F22" s="63"/>
      <c r="G22" s="61">
        <v>2023</v>
      </c>
      <c r="H22" s="62"/>
      <c r="I22" s="62"/>
      <c r="J22" s="63"/>
      <c r="K22" s="61">
        <v>2024</v>
      </c>
      <c r="L22" s="64"/>
      <c r="M22" s="64"/>
      <c r="N22" s="65"/>
      <c r="O22" s="61" t="s">
        <v>32</v>
      </c>
      <c r="P22" s="64"/>
      <c r="Q22" s="64"/>
      <c r="R22" s="65"/>
    </row>
    <row r="23" spans="2:18" ht="21" x14ac:dyDescent="0.35">
      <c r="B23" s="66"/>
      <c r="C23" s="67" t="s">
        <v>122</v>
      </c>
      <c r="D23" s="68" t="s">
        <v>44</v>
      </c>
      <c r="E23" s="68" t="s">
        <v>45</v>
      </c>
      <c r="F23" s="69" t="s">
        <v>101</v>
      </c>
      <c r="G23" s="67" t="s">
        <v>122</v>
      </c>
      <c r="H23" s="68" t="s">
        <v>44</v>
      </c>
      <c r="I23" s="68" t="s">
        <v>45</v>
      </c>
      <c r="J23" s="69" t="s">
        <v>101</v>
      </c>
      <c r="K23" s="67" t="s">
        <v>122</v>
      </c>
      <c r="L23" s="68" t="s">
        <v>44</v>
      </c>
      <c r="M23" s="68" t="s">
        <v>45</v>
      </c>
      <c r="N23" s="69" t="s">
        <v>101</v>
      </c>
      <c r="O23" s="67" t="s">
        <v>122</v>
      </c>
      <c r="P23" s="68" t="s">
        <v>44</v>
      </c>
      <c r="Q23" s="68" t="s">
        <v>45</v>
      </c>
      <c r="R23" s="69" t="s">
        <v>101</v>
      </c>
    </row>
    <row r="24" spans="2:18" ht="21" x14ac:dyDescent="0.35">
      <c r="B24" s="70">
        <v>0.5</v>
      </c>
      <c r="C24" s="67" t="s">
        <v>123</v>
      </c>
      <c r="D24" s="68" t="s">
        <v>127</v>
      </c>
      <c r="E24" s="68" t="s">
        <v>130</v>
      </c>
      <c r="F24" s="69" t="s">
        <v>135</v>
      </c>
      <c r="G24" s="67" t="s">
        <v>148</v>
      </c>
      <c r="H24" s="68" t="s">
        <v>152</v>
      </c>
      <c r="I24" s="68" t="s">
        <v>156</v>
      </c>
      <c r="J24" s="69" t="s">
        <v>141</v>
      </c>
      <c r="K24" s="67" t="s">
        <v>159</v>
      </c>
      <c r="L24" s="68" t="s">
        <v>162</v>
      </c>
      <c r="M24" s="68" t="s">
        <v>163</v>
      </c>
      <c r="N24" s="69" t="s">
        <v>140</v>
      </c>
      <c r="O24" s="67" t="s">
        <v>164</v>
      </c>
      <c r="P24" s="68" t="s">
        <v>168</v>
      </c>
      <c r="Q24" s="68" t="s">
        <v>165</v>
      </c>
      <c r="R24" s="69" t="s">
        <v>144</v>
      </c>
    </row>
    <row r="25" spans="2:18" ht="21" x14ac:dyDescent="0.35">
      <c r="B25" s="70">
        <v>0.6</v>
      </c>
      <c r="C25" s="67" t="s">
        <v>124</v>
      </c>
      <c r="D25" s="68" t="s">
        <v>128</v>
      </c>
      <c r="E25" s="68" t="s">
        <v>131</v>
      </c>
      <c r="F25" s="69" t="s">
        <v>135</v>
      </c>
      <c r="G25" s="67" t="s">
        <v>149</v>
      </c>
      <c r="H25" s="68" t="s">
        <v>153</v>
      </c>
      <c r="I25" s="68" t="s">
        <v>157</v>
      </c>
      <c r="J25" s="69" t="s">
        <v>140</v>
      </c>
      <c r="K25" s="67" t="s">
        <v>160</v>
      </c>
      <c r="L25" s="68" t="s">
        <v>142</v>
      </c>
      <c r="M25" s="68" t="s">
        <v>160</v>
      </c>
      <c r="N25" s="69" t="s">
        <v>142</v>
      </c>
      <c r="O25" s="67" t="s">
        <v>165</v>
      </c>
      <c r="P25" s="68" t="s">
        <v>169</v>
      </c>
      <c r="Q25" s="68" t="s">
        <v>172</v>
      </c>
      <c r="R25" s="69" t="s">
        <v>145</v>
      </c>
    </row>
    <row r="26" spans="2:18" ht="21" x14ac:dyDescent="0.35">
      <c r="B26" s="70">
        <v>0.7</v>
      </c>
      <c r="C26" s="67" t="s">
        <v>125</v>
      </c>
      <c r="D26" s="68" t="s">
        <v>129</v>
      </c>
      <c r="E26" s="68" t="s">
        <v>132</v>
      </c>
      <c r="F26" s="69" t="s">
        <v>136</v>
      </c>
      <c r="G26" s="67" t="s">
        <v>150</v>
      </c>
      <c r="H26" s="68" t="s">
        <v>154</v>
      </c>
      <c r="I26" s="68" t="s">
        <v>158</v>
      </c>
      <c r="J26" s="69" t="s">
        <v>139</v>
      </c>
      <c r="K26" s="67" t="s">
        <v>161</v>
      </c>
      <c r="L26" s="68" t="s">
        <v>139</v>
      </c>
      <c r="M26" s="68" t="s">
        <v>161</v>
      </c>
      <c r="N26" s="69" t="s">
        <v>139</v>
      </c>
      <c r="O26" s="67" t="s">
        <v>166</v>
      </c>
      <c r="P26" s="68" t="s">
        <v>170</v>
      </c>
      <c r="Q26" s="68" t="s">
        <v>173</v>
      </c>
      <c r="R26" s="69" t="s">
        <v>146</v>
      </c>
    </row>
    <row r="27" spans="2:18" ht="21" x14ac:dyDescent="0.35">
      <c r="B27" s="70">
        <v>0.8</v>
      </c>
      <c r="C27" s="67" t="s">
        <v>126</v>
      </c>
      <c r="D27" s="68" t="s">
        <v>134</v>
      </c>
      <c r="E27" s="68" t="s">
        <v>126</v>
      </c>
      <c r="F27" s="69" t="s">
        <v>134</v>
      </c>
      <c r="G27" s="67" t="s">
        <v>151</v>
      </c>
      <c r="H27" s="68" t="s">
        <v>155</v>
      </c>
      <c r="I27" s="68" t="s">
        <v>155</v>
      </c>
      <c r="J27" s="69" t="s">
        <v>138</v>
      </c>
      <c r="K27" s="67" t="s">
        <v>133</v>
      </c>
      <c r="L27" s="68" t="s">
        <v>133</v>
      </c>
      <c r="M27" s="68" t="s">
        <v>133</v>
      </c>
      <c r="N27" s="69" t="s">
        <v>133</v>
      </c>
      <c r="O27" s="67" t="s">
        <v>167</v>
      </c>
      <c r="P27" s="68" t="s">
        <v>171</v>
      </c>
      <c r="Q27" s="68" t="s">
        <v>174</v>
      </c>
      <c r="R27" s="69" t="s">
        <v>147</v>
      </c>
    </row>
    <row r="28" spans="2:18" ht="21.75" thickBot="1" x14ac:dyDescent="0.4">
      <c r="B28" s="71">
        <v>0.9</v>
      </c>
      <c r="C28" s="72" t="s">
        <v>133</v>
      </c>
      <c r="D28" s="73" t="s">
        <v>133</v>
      </c>
      <c r="E28" s="73" t="s">
        <v>133</v>
      </c>
      <c r="F28" s="74" t="s">
        <v>133</v>
      </c>
      <c r="G28" s="72" t="s">
        <v>137</v>
      </c>
      <c r="H28" s="73" t="s">
        <v>137</v>
      </c>
      <c r="I28" s="73" t="s">
        <v>137</v>
      </c>
      <c r="J28" s="74" t="s">
        <v>137</v>
      </c>
      <c r="K28" s="72" t="s">
        <v>137</v>
      </c>
      <c r="L28" s="73" t="s">
        <v>137</v>
      </c>
      <c r="M28" s="73" t="s">
        <v>137</v>
      </c>
      <c r="N28" s="74" t="s">
        <v>137</v>
      </c>
      <c r="O28" s="72" t="s">
        <v>143</v>
      </c>
      <c r="P28" s="73" t="s">
        <v>143</v>
      </c>
      <c r="Q28" s="73" t="s">
        <v>143</v>
      </c>
      <c r="R28" s="74" t="s">
        <v>143</v>
      </c>
    </row>
  </sheetData>
  <mergeCells count="1">
    <mergeCell ref="C21:R2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18"/>
  <sheetViews>
    <sheetView tabSelected="1" topLeftCell="A13" workbookViewId="0">
      <selection activeCell="H14" sqref="H14"/>
    </sheetView>
  </sheetViews>
  <sheetFormatPr defaultColWidth="14.28515625" defaultRowHeight="15" x14ac:dyDescent="0.25"/>
  <cols>
    <col min="2" max="2" width="10" customWidth="1"/>
    <col min="3" max="3" width="23.28515625" style="1" customWidth="1"/>
    <col min="4" max="4" width="17.28515625" style="1" customWidth="1"/>
    <col min="12" max="12" width="35.140625" customWidth="1"/>
  </cols>
  <sheetData>
    <row r="2" spans="2:15" ht="83.45" customHeight="1" x14ac:dyDescent="0.25">
      <c r="B2" s="11" t="s">
        <v>0</v>
      </c>
      <c r="C2" s="11" t="s">
        <v>1</v>
      </c>
      <c r="D2" s="11" t="s">
        <v>26</v>
      </c>
      <c r="E2" s="11" t="s">
        <v>2</v>
      </c>
      <c r="F2" s="11" t="s">
        <v>13</v>
      </c>
      <c r="G2" s="11" t="s">
        <v>102</v>
      </c>
      <c r="H2" s="11" t="s">
        <v>107</v>
      </c>
      <c r="I2" s="11" t="s">
        <v>15</v>
      </c>
      <c r="J2" s="11" t="s">
        <v>112</v>
      </c>
      <c r="K2" s="11" t="s">
        <v>98</v>
      </c>
      <c r="L2" s="11" t="s">
        <v>117</v>
      </c>
      <c r="O2" s="24" t="s">
        <v>3</v>
      </c>
    </row>
    <row r="3" spans="2:15" ht="68.25" x14ac:dyDescent="0.25">
      <c r="B3" s="11">
        <v>2010</v>
      </c>
      <c r="C3" s="12" t="s">
        <v>4</v>
      </c>
      <c r="D3" s="44" t="s">
        <v>109</v>
      </c>
      <c r="E3" s="44" t="s">
        <v>9</v>
      </c>
      <c r="F3" s="44" t="s">
        <v>105</v>
      </c>
      <c r="G3" s="44" t="s">
        <v>103</v>
      </c>
      <c r="H3" s="44">
        <v>1445</v>
      </c>
      <c r="I3" s="45" t="s">
        <v>14</v>
      </c>
      <c r="J3" s="45" t="s">
        <v>99</v>
      </c>
      <c r="K3" s="45" t="s">
        <v>99</v>
      </c>
      <c r="L3" s="46" t="s">
        <v>115</v>
      </c>
      <c r="O3" s="44"/>
    </row>
    <row r="4" spans="2:15" ht="28.5" customHeight="1" x14ac:dyDescent="0.25">
      <c r="B4" s="11">
        <v>2011</v>
      </c>
      <c r="C4" s="12" t="s">
        <v>7</v>
      </c>
      <c r="D4" s="44">
        <v>1108</v>
      </c>
      <c r="E4" s="44" t="s">
        <v>9</v>
      </c>
      <c r="F4" s="44" t="s">
        <v>105</v>
      </c>
      <c r="G4" s="44" t="s">
        <v>103</v>
      </c>
      <c r="H4" s="44">
        <v>253</v>
      </c>
      <c r="I4" s="45" t="s">
        <v>14</v>
      </c>
      <c r="J4" s="45">
        <v>2</v>
      </c>
      <c r="K4" s="45">
        <v>2</v>
      </c>
      <c r="L4" s="13"/>
      <c r="O4" s="44"/>
    </row>
    <row r="5" spans="2:15" ht="57" x14ac:dyDescent="0.25">
      <c r="B5" s="11">
        <v>2012</v>
      </c>
      <c r="C5" s="12" t="s">
        <v>8</v>
      </c>
      <c r="D5" s="44">
        <v>1203</v>
      </c>
      <c r="E5" s="44" t="s">
        <v>9</v>
      </c>
      <c r="F5" s="44" t="s">
        <v>105</v>
      </c>
      <c r="G5" s="44" t="s">
        <v>103</v>
      </c>
      <c r="H5" s="44">
        <v>263</v>
      </c>
      <c r="I5" s="45" t="s">
        <v>14</v>
      </c>
      <c r="J5" s="45">
        <v>1</v>
      </c>
      <c r="K5" s="45">
        <v>1</v>
      </c>
      <c r="L5" s="46" t="s">
        <v>118</v>
      </c>
      <c r="O5" s="44"/>
    </row>
    <row r="6" spans="2:15" ht="57" x14ac:dyDescent="0.25">
      <c r="B6" s="11">
        <v>2013</v>
      </c>
      <c r="C6" s="12" t="s">
        <v>12</v>
      </c>
      <c r="D6" s="44">
        <v>1303</v>
      </c>
      <c r="E6" s="44" t="s">
        <v>10</v>
      </c>
      <c r="F6" s="44" t="s">
        <v>105</v>
      </c>
      <c r="G6" s="44" t="s">
        <v>103</v>
      </c>
      <c r="H6" s="44">
        <v>293</v>
      </c>
      <c r="I6" s="45" t="s">
        <v>14</v>
      </c>
      <c r="J6" s="45">
        <v>2</v>
      </c>
      <c r="K6" s="45">
        <v>2</v>
      </c>
      <c r="L6" s="46" t="s">
        <v>118</v>
      </c>
      <c r="O6" s="44"/>
    </row>
    <row r="7" spans="2:15" ht="28.5" customHeight="1" x14ac:dyDescent="0.25">
      <c r="B7" s="11">
        <v>2015</v>
      </c>
      <c r="C7" s="12" t="s">
        <v>6</v>
      </c>
      <c r="D7" s="44">
        <v>1502</v>
      </c>
      <c r="E7" s="44" t="s">
        <v>11</v>
      </c>
      <c r="F7" s="44" t="s">
        <v>106</v>
      </c>
      <c r="G7" s="44" t="s">
        <v>104</v>
      </c>
      <c r="H7" s="44">
        <v>306</v>
      </c>
      <c r="I7" s="45" t="s">
        <v>14</v>
      </c>
      <c r="J7" s="45">
        <v>2</v>
      </c>
      <c r="K7" s="45">
        <v>2</v>
      </c>
      <c r="L7" s="13"/>
      <c r="O7" s="44"/>
    </row>
    <row r="8" spans="2:15" ht="57" x14ac:dyDescent="0.25">
      <c r="B8" s="11">
        <v>2016</v>
      </c>
      <c r="C8" s="12" t="s">
        <v>5</v>
      </c>
      <c r="D8" s="44">
        <v>1604</v>
      </c>
      <c r="E8" s="44" t="s">
        <v>11</v>
      </c>
      <c r="F8" s="44" t="s">
        <v>106</v>
      </c>
      <c r="G8" s="44" t="s">
        <v>104</v>
      </c>
      <c r="H8" s="44">
        <v>350</v>
      </c>
      <c r="I8" s="45" t="s">
        <v>14</v>
      </c>
      <c r="J8" s="45">
        <v>1</v>
      </c>
      <c r="K8" s="45">
        <v>1</v>
      </c>
      <c r="L8" s="46" t="s">
        <v>118</v>
      </c>
      <c r="O8" s="44"/>
    </row>
    <row r="9" spans="2:15" ht="109.9" customHeight="1" x14ac:dyDescent="0.25">
      <c r="B9" s="11">
        <v>2017</v>
      </c>
      <c r="C9" s="12" t="s">
        <v>4</v>
      </c>
      <c r="D9" s="44" t="s">
        <v>110</v>
      </c>
      <c r="E9" s="44" t="s">
        <v>11</v>
      </c>
      <c r="F9" s="44" t="s">
        <v>106</v>
      </c>
      <c r="G9" s="44" t="s">
        <v>104</v>
      </c>
      <c r="H9" s="44">
        <v>1743</v>
      </c>
      <c r="I9" s="45" t="s">
        <v>16</v>
      </c>
      <c r="J9" s="45" t="s">
        <v>113</v>
      </c>
      <c r="K9" s="45" t="s">
        <v>100</v>
      </c>
      <c r="L9" s="47" t="s">
        <v>121</v>
      </c>
      <c r="O9" s="44"/>
    </row>
    <row r="10" spans="2:15" ht="28.5" customHeight="1" x14ac:dyDescent="0.25">
      <c r="B10" s="11">
        <v>2018</v>
      </c>
      <c r="C10" s="12" t="s">
        <v>6</v>
      </c>
      <c r="D10" s="44">
        <v>1803</v>
      </c>
      <c r="E10" s="44" t="s">
        <v>11</v>
      </c>
      <c r="F10" s="44" t="s">
        <v>106</v>
      </c>
      <c r="G10" s="44" t="s">
        <v>104</v>
      </c>
      <c r="H10" s="44">
        <v>339</v>
      </c>
      <c r="I10" s="45" t="s">
        <v>17</v>
      </c>
      <c r="J10" s="45">
        <v>27</v>
      </c>
      <c r="K10" s="45">
        <v>0</v>
      </c>
      <c r="L10" s="13"/>
      <c r="O10" s="44"/>
    </row>
    <row r="11" spans="2:15" ht="28.5" customHeight="1" x14ac:dyDescent="0.25">
      <c r="B11" s="11">
        <v>2019</v>
      </c>
      <c r="C11" s="12" t="s">
        <v>5</v>
      </c>
      <c r="D11" s="44">
        <v>1901</v>
      </c>
      <c r="E11" s="44" t="s">
        <v>11</v>
      </c>
      <c r="F11" s="44" t="s">
        <v>106</v>
      </c>
      <c r="G11" s="44" t="s">
        <v>104</v>
      </c>
      <c r="H11" s="44">
        <v>109</v>
      </c>
      <c r="I11" s="45" t="s">
        <v>17</v>
      </c>
      <c r="J11" s="45">
        <v>10</v>
      </c>
      <c r="K11" s="45">
        <v>2</v>
      </c>
      <c r="L11" s="13"/>
      <c r="O11" s="44"/>
    </row>
    <row r="12" spans="2:15" ht="72" customHeight="1" x14ac:dyDescent="0.25">
      <c r="B12" s="11">
        <v>2020</v>
      </c>
      <c r="C12" s="12" t="s">
        <v>5</v>
      </c>
      <c r="D12" s="44">
        <v>2001</v>
      </c>
      <c r="E12" s="44" t="s">
        <v>11</v>
      </c>
      <c r="F12" s="44" t="s">
        <v>106</v>
      </c>
      <c r="G12" s="44" t="s">
        <v>104</v>
      </c>
      <c r="H12" s="44">
        <v>475</v>
      </c>
      <c r="I12" s="45" t="s">
        <v>17</v>
      </c>
      <c r="J12" s="45">
        <v>127</v>
      </c>
      <c r="K12" s="45">
        <v>4</v>
      </c>
      <c r="L12" s="46" t="s">
        <v>116</v>
      </c>
      <c r="O12" s="44"/>
    </row>
    <row r="13" spans="2:15" ht="68.25" x14ac:dyDescent="0.25">
      <c r="B13" s="11">
        <v>2021</v>
      </c>
      <c r="C13" s="12" t="s">
        <v>6</v>
      </c>
      <c r="D13" s="44">
        <v>2102</v>
      </c>
      <c r="E13" s="44" t="s">
        <v>11</v>
      </c>
      <c r="F13" s="44" t="s">
        <v>106</v>
      </c>
      <c r="G13" s="44" t="s">
        <v>104</v>
      </c>
      <c r="H13" s="44">
        <v>339</v>
      </c>
      <c r="I13" s="45" t="s">
        <v>17</v>
      </c>
      <c r="J13" s="45">
        <v>89</v>
      </c>
      <c r="K13" s="45">
        <v>10</v>
      </c>
      <c r="L13" s="46" t="s">
        <v>120</v>
      </c>
      <c r="O13" s="44"/>
    </row>
    <row r="14" spans="2:15" ht="79.5" x14ac:dyDescent="0.25">
      <c r="B14" s="11">
        <v>2023</v>
      </c>
      <c r="C14" s="12" t="s">
        <v>4</v>
      </c>
      <c r="D14" s="44" t="s">
        <v>111</v>
      </c>
      <c r="E14" s="44" t="s">
        <v>11</v>
      </c>
      <c r="F14" s="44" t="s">
        <v>106</v>
      </c>
      <c r="G14" s="44" t="s">
        <v>104</v>
      </c>
      <c r="H14" s="79">
        <f>733+435</f>
        <v>1168</v>
      </c>
      <c r="I14" s="45" t="s">
        <v>18</v>
      </c>
      <c r="J14" s="45" t="s">
        <v>113</v>
      </c>
      <c r="K14" s="45">
        <v>5</v>
      </c>
      <c r="L14" s="46" t="s">
        <v>119</v>
      </c>
      <c r="O14" s="44"/>
    </row>
    <row r="15" spans="2:15" ht="28.5" customHeight="1" x14ac:dyDescent="0.25">
      <c r="B15" s="11">
        <v>2024</v>
      </c>
      <c r="C15" s="12" t="s">
        <v>108</v>
      </c>
      <c r="D15" s="44">
        <v>2404</v>
      </c>
      <c r="E15" s="44" t="s">
        <v>11</v>
      </c>
      <c r="F15" s="44" t="s">
        <v>106</v>
      </c>
      <c r="G15" s="44" t="s">
        <v>104</v>
      </c>
      <c r="H15" s="44">
        <v>389</v>
      </c>
      <c r="I15" s="45" t="s">
        <v>18</v>
      </c>
      <c r="J15" s="45" t="s">
        <v>113</v>
      </c>
      <c r="K15" s="45">
        <v>5</v>
      </c>
      <c r="L15" s="13"/>
      <c r="O15" s="44"/>
    </row>
    <row r="18" spans="10:10" x14ac:dyDescent="0.25">
      <c r="J18" t="s">
        <v>114</v>
      </c>
    </row>
  </sheetData>
  <phoneticPr fontId="8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CA73-E650-4EB7-93C1-D459BAC41A38}">
  <dimension ref="A3:L31"/>
  <sheetViews>
    <sheetView workbookViewId="0">
      <selection activeCell="E5" sqref="E5"/>
    </sheetView>
  </sheetViews>
  <sheetFormatPr defaultRowHeight="15" x14ac:dyDescent="0.25"/>
  <cols>
    <col min="1" max="1" width="19.5703125" bestFit="1" customWidth="1"/>
    <col min="2" max="2" width="16.5703125" bestFit="1" customWidth="1"/>
    <col min="4" max="4" width="12.85546875" customWidth="1"/>
    <col min="5" max="5" width="10.42578125" customWidth="1"/>
    <col min="6" max="12" width="10.28515625" customWidth="1"/>
  </cols>
  <sheetData>
    <row r="3" spans="2:12" ht="75.75" thickBot="1" x14ac:dyDescent="0.3">
      <c r="B3" s="17" t="s">
        <v>0</v>
      </c>
      <c r="C3" s="17" t="s">
        <v>22</v>
      </c>
      <c r="D3" s="17" t="s">
        <v>23</v>
      </c>
      <c r="E3" s="17" t="s">
        <v>25</v>
      </c>
      <c r="F3" s="17" t="s">
        <v>27</v>
      </c>
      <c r="G3" s="17" t="s">
        <v>25</v>
      </c>
      <c r="H3" s="17" t="s">
        <v>24</v>
      </c>
      <c r="I3" s="15"/>
      <c r="J3" s="15" t="s">
        <v>31</v>
      </c>
      <c r="L3" s="14"/>
    </row>
    <row r="4" spans="2:12" ht="15.75" thickTop="1" x14ac:dyDescent="0.25">
      <c r="B4" s="16">
        <v>2017</v>
      </c>
      <c r="C4" s="16">
        <v>555</v>
      </c>
      <c r="D4" s="16">
        <v>448</v>
      </c>
      <c r="E4" s="16">
        <f>ROUND((C4-D4)/C4, 2)</f>
        <v>0.19</v>
      </c>
      <c r="F4" s="16">
        <v>110</v>
      </c>
      <c r="G4" s="16">
        <f>ROUND((D4-F4)/D4, 2)</f>
        <v>0.75</v>
      </c>
      <c r="H4" s="16">
        <v>11</v>
      </c>
      <c r="J4">
        <f>ROUND((C4-33)/C4,2)</f>
        <v>0.94</v>
      </c>
      <c r="L4">
        <f>C4-F4</f>
        <v>445</v>
      </c>
    </row>
    <row r="5" spans="2:12" x14ac:dyDescent="0.25">
      <c r="B5" s="16">
        <v>2023</v>
      </c>
      <c r="C5" s="16">
        <v>388</v>
      </c>
      <c r="D5" s="16">
        <v>321</v>
      </c>
      <c r="E5" s="16">
        <f t="shared" ref="E5:E9" si="0">ROUND((C5-D5)/C5, 2)</f>
        <v>0.17</v>
      </c>
      <c r="F5" s="16">
        <v>67</v>
      </c>
      <c r="G5" s="16">
        <f t="shared" ref="G5:G9" si="1">ROUND((D5-F5)/D5, 2)</f>
        <v>0.79</v>
      </c>
      <c r="H5" s="16">
        <v>9</v>
      </c>
      <c r="J5">
        <f>ROUND((C5-14)/C5,2)</f>
        <v>0.96</v>
      </c>
      <c r="L5">
        <f>C5-F5</f>
        <v>321</v>
      </c>
    </row>
    <row r="6" spans="2:12" ht="15.75" thickBot="1" x14ac:dyDescent="0.3">
      <c r="B6" s="18">
        <v>2024</v>
      </c>
      <c r="C6" s="18">
        <v>122</v>
      </c>
      <c r="D6" s="18">
        <v>87</v>
      </c>
      <c r="E6" s="18">
        <f t="shared" si="0"/>
        <v>0.28999999999999998</v>
      </c>
      <c r="F6" s="18">
        <v>35</v>
      </c>
      <c r="G6" s="18">
        <f t="shared" si="1"/>
        <v>0.6</v>
      </c>
      <c r="H6" s="18">
        <v>0</v>
      </c>
      <c r="J6">
        <f>ROUND((C6-10)/C6,2)</f>
        <v>0.92</v>
      </c>
      <c r="L6">
        <f>C6-F6</f>
        <v>87</v>
      </c>
    </row>
    <row r="7" spans="2:12" ht="15.75" thickTop="1" x14ac:dyDescent="0.25"/>
    <row r="9" spans="2:12" x14ac:dyDescent="0.25">
      <c r="B9" t="s">
        <v>29</v>
      </c>
      <c r="C9">
        <f>SUM(C4:C6)</f>
        <v>1065</v>
      </c>
      <c r="D9">
        <f>SUM(D4:D6)</f>
        <v>856</v>
      </c>
      <c r="E9">
        <f t="shared" si="0"/>
        <v>0.2</v>
      </c>
      <c r="F9">
        <f>SUM(F4:F6)</f>
        <v>212</v>
      </c>
      <c r="G9">
        <f t="shared" si="1"/>
        <v>0.75</v>
      </c>
    </row>
    <row r="12" spans="2:12" x14ac:dyDescent="0.25">
      <c r="B12" t="s">
        <v>28</v>
      </c>
      <c r="D12">
        <f>C9-D9</f>
        <v>209</v>
      </c>
    </row>
    <row r="14" spans="2:12" x14ac:dyDescent="0.25">
      <c r="C14" t="s">
        <v>30</v>
      </c>
    </row>
    <row r="17" spans="1:5" x14ac:dyDescent="0.25">
      <c r="A17" s="20" t="s">
        <v>42</v>
      </c>
    </row>
    <row r="18" spans="1:5" x14ac:dyDescent="0.25">
      <c r="B18" t="s">
        <v>32</v>
      </c>
      <c r="C18" t="s">
        <v>33</v>
      </c>
      <c r="D18" t="s">
        <v>34</v>
      </c>
      <c r="E18" t="s">
        <v>35</v>
      </c>
    </row>
    <row r="19" spans="1:5" x14ac:dyDescent="0.25">
      <c r="B19">
        <v>555</v>
      </c>
      <c r="C19">
        <v>110</v>
      </c>
      <c r="D19">
        <v>33</v>
      </c>
      <c r="E19" s="19">
        <f>(B19-C19)/B19</f>
        <v>0.80180180180180183</v>
      </c>
    </row>
    <row r="20" spans="1:5" x14ac:dyDescent="0.25">
      <c r="B20">
        <v>388</v>
      </c>
      <c r="C20">
        <v>67</v>
      </c>
      <c r="D20">
        <v>14</v>
      </c>
      <c r="E20" s="19">
        <f t="shared" ref="E20:E21" si="2">(B20-C20)/B20</f>
        <v>0.82731958762886593</v>
      </c>
    </row>
    <row r="21" spans="1:5" x14ac:dyDescent="0.25">
      <c r="B21">
        <v>122</v>
      </c>
      <c r="C21">
        <v>35</v>
      </c>
      <c r="D21">
        <v>10</v>
      </c>
      <c r="E21" s="19">
        <f t="shared" si="2"/>
        <v>0.71311475409836067</v>
      </c>
    </row>
    <row r="22" spans="1:5" x14ac:dyDescent="0.25">
      <c r="A22" s="20" t="s">
        <v>32</v>
      </c>
      <c r="B22" s="20">
        <f>SUM(B19:B21)</f>
        <v>1065</v>
      </c>
      <c r="C22" s="20">
        <f>SUM(C19:C21)</f>
        <v>212</v>
      </c>
      <c r="D22" s="20">
        <f>SUM(D19:D21)</f>
        <v>57</v>
      </c>
      <c r="E22" s="20"/>
    </row>
    <row r="24" spans="1:5" x14ac:dyDescent="0.25">
      <c r="A24" t="s">
        <v>36</v>
      </c>
      <c r="B24">
        <f>1068-755</f>
        <v>313</v>
      </c>
    </row>
    <row r="25" spans="1:5" x14ac:dyDescent="0.25">
      <c r="A25" t="s">
        <v>37</v>
      </c>
      <c r="B25">
        <f>755-212</f>
        <v>543</v>
      </c>
    </row>
    <row r="26" spans="1:5" x14ac:dyDescent="0.25">
      <c r="A26" s="20" t="s">
        <v>38</v>
      </c>
      <c r="B26" s="20">
        <f>B24+B25</f>
        <v>856</v>
      </c>
    </row>
    <row r="28" spans="1:5" x14ac:dyDescent="0.25">
      <c r="A28" s="20" t="s">
        <v>39</v>
      </c>
      <c r="B28" s="21">
        <f>B26/B22</f>
        <v>0.8037558685446009</v>
      </c>
    </row>
    <row r="30" spans="1:5" x14ac:dyDescent="0.25">
      <c r="A30" s="20" t="s">
        <v>40</v>
      </c>
      <c r="B30" s="19">
        <f>AVERAGE(E19:E21)</f>
        <v>0.78074538117634285</v>
      </c>
    </row>
    <row r="31" spans="1:5" x14ac:dyDescent="0.25">
      <c r="A31" t="s">
        <v>41</v>
      </c>
      <c r="B31" s="19">
        <f>MEDIAN(E19:E21)</f>
        <v>0.80180180180180183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C8DF-330E-4085-938E-0299F38AFB9F}">
  <dimension ref="B3:G13"/>
  <sheetViews>
    <sheetView zoomScale="130" zoomScaleNormal="130" workbookViewId="0">
      <selection activeCell="E7" sqref="E7"/>
    </sheetView>
  </sheetViews>
  <sheetFormatPr defaultColWidth="21.5703125" defaultRowHeight="26.25" customHeight="1" x14ac:dyDescent="0.25"/>
  <cols>
    <col min="1" max="1" width="10.28515625" customWidth="1"/>
    <col min="2" max="2" width="10.85546875" customWidth="1"/>
    <col min="3" max="3" width="13.85546875" customWidth="1"/>
    <col min="4" max="4" width="12.5703125" customWidth="1"/>
    <col min="5" max="5" width="11.7109375" customWidth="1"/>
  </cols>
  <sheetData>
    <row r="3" spans="2:7" ht="26.25" customHeight="1" x14ac:dyDescent="0.3">
      <c r="C3" s="78"/>
      <c r="D3" s="78"/>
      <c r="E3" s="78"/>
    </row>
    <row r="4" spans="2:7" ht="56.25" customHeight="1" thickBot="1" x14ac:dyDescent="0.3">
      <c r="B4" s="3"/>
      <c r="C4" s="6" t="s">
        <v>19</v>
      </c>
      <c r="D4" s="4" t="s">
        <v>20</v>
      </c>
      <c r="E4" s="4" t="s">
        <v>21</v>
      </c>
    </row>
    <row r="5" spans="2:7" ht="26.25" customHeight="1" thickTop="1" x14ac:dyDescent="0.25">
      <c r="B5" s="10">
        <v>2017</v>
      </c>
      <c r="C5" s="7">
        <v>522</v>
      </c>
      <c r="D5" s="7">
        <v>12</v>
      </c>
      <c r="E5" s="8">
        <v>21</v>
      </c>
      <c r="F5">
        <f>C5+D5+E5</f>
        <v>555</v>
      </c>
      <c r="G5">
        <f>D5+E5</f>
        <v>33</v>
      </c>
    </row>
    <row r="6" spans="2:7" ht="26.25" customHeight="1" x14ac:dyDescent="0.25">
      <c r="B6" s="5">
        <v>2023</v>
      </c>
      <c r="C6" s="9">
        <v>374</v>
      </c>
      <c r="D6" s="9">
        <v>9</v>
      </c>
      <c r="E6" s="9">
        <v>5</v>
      </c>
      <c r="F6">
        <f t="shared" ref="F6:F7" si="0">C6+D6+E6</f>
        <v>388</v>
      </c>
      <c r="G6">
        <f t="shared" ref="G6:G7" si="1">D6+E6</f>
        <v>14</v>
      </c>
    </row>
    <row r="7" spans="2:7" ht="26.25" customHeight="1" x14ac:dyDescent="0.25">
      <c r="B7" s="5">
        <v>2024</v>
      </c>
      <c r="C7" s="9">
        <v>122</v>
      </c>
      <c r="D7" s="9">
        <v>5</v>
      </c>
      <c r="E7" s="9">
        <v>5</v>
      </c>
      <c r="F7">
        <f t="shared" si="0"/>
        <v>132</v>
      </c>
      <c r="G7">
        <f t="shared" si="1"/>
        <v>10</v>
      </c>
    </row>
    <row r="8" spans="2:7" ht="26.25" customHeight="1" x14ac:dyDescent="0.25">
      <c r="B8" s="2"/>
      <c r="C8" s="2"/>
      <c r="D8" s="2"/>
      <c r="E8" s="2"/>
    </row>
    <row r="9" spans="2:7" ht="26.25" customHeight="1" x14ac:dyDescent="0.25">
      <c r="B9" s="2"/>
      <c r="C9" s="2"/>
      <c r="D9" s="2"/>
      <c r="E9" s="2"/>
    </row>
    <row r="10" spans="2:7" ht="26.25" customHeight="1" x14ac:dyDescent="0.25">
      <c r="B10" s="2"/>
      <c r="C10" s="2"/>
      <c r="D10" s="2"/>
      <c r="E10" s="2"/>
    </row>
    <row r="11" spans="2:7" ht="26.25" customHeight="1" x14ac:dyDescent="0.25">
      <c r="B11" s="2"/>
      <c r="C11" s="2"/>
      <c r="D11" s="2"/>
      <c r="E11" s="2"/>
    </row>
    <row r="12" spans="2:7" ht="26.25" customHeight="1" x14ac:dyDescent="0.25">
      <c r="B12" s="2"/>
      <c r="C12" s="2"/>
      <c r="D12" s="2"/>
      <c r="E12" s="2"/>
    </row>
    <row r="13" spans="2:7" ht="26.25" customHeight="1" x14ac:dyDescent="0.25">
      <c r="B13" s="2"/>
      <c r="C13" s="2"/>
      <c r="D13" s="2"/>
      <c r="E13" s="2"/>
    </row>
  </sheetData>
  <mergeCells count="1">
    <mergeCell ref="C3:E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Threshold_Table</vt:lpstr>
      <vt:lpstr>SuppTable-TS1</vt:lpstr>
      <vt:lpstr>TableX-Results</vt:lpstr>
      <vt:lpstr>VVAO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Yvonne Barkley</dc:creator>
  <cp:lastModifiedBy>Reviewer</cp:lastModifiedBy>
  <dcterms:created xsi:type="dcterms:W3CDTF">2015-06-05T18:17:20Z</dcterms:created>
  <dcterms:modified xsi:type="dcterms:W3CDTF">2025-12-05T21:16:09Z</dcterms:modified>
</cp:coreProperties>
</file>