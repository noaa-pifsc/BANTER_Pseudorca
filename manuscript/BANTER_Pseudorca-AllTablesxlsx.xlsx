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vonne.barkley\Github\BANTER_Pseudorca\manuscript\"/>
    </mc:Choice>
  </mc:AlternateContent>
  <xr:revisionPtr revIDLastSave="0" documentId="13_ncr:1_{37A33E58-30D1-43E4-8D29-ABDD14ED5008}" xr6:coauthVersionLast="47" xr6:coauthVersionMax="47" xr10:uidLastSave="{00000000-0000-0000-0000-000000000000}"/>
  <bookViews>
    <workbookView xWindow="38280" yWindow="4140" windowWidth="29040" windowHeight="15720" activeTab="1" xr2:uid="{00000000-000D-0000-FFFF-FFFF00000000}"/>
  </bookViews>
  <sheets>
    <sheet name="Threshold_Table" sheetId="4" r:id="rId1"/>
    <sheet name="SuppTable-TS1" sheetId="1" r:id="rId2"/>
    <sheet name="TableX-Results" sheetId="3" r:id="rId3"/>
    <sheet name="VVA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2" l="1"/>
  <c r="G7" i="2"/>
  <c r="G5" i="2"/>
  <c r="F6" i="2"/>
  <c r="F7" i="2"/>
  <c r="F5" i="2"/>
  <c r="B31" i="3"/>
  <c r="B25" i="3"/>
  <c r="B26" i="3" s="1"/>
  <c r="B28" i="3" s="1"/>
  <c r="B24" i="3"/>
  <c r="D22" i="3"/>
  <c r="C22" i="3"/>
  <c r="B22" i="3"/>
  <c r="E21" i="3"/>
  <c r="E20" i="3"/>
  <c r="E19" i="3"/>
  <c r="B30" i="3" s="1"/>
  <c r="L4" i="3"/>
  <c r="J6" i="3"/>
  <c r="J5" i="3"/>
  <c r="J4" i="3"/>
  <c r="G5" i="3"/>
  <c r="G6" i="3"/>
  <c r="G4" i="3"/>
  <c r="E4" i="3"/>
  <c r="E5" i="3"/>
  <c r="E6" i="3"/>
  <c r="D9" i="3"/>
  <c r="L5" i="3"/>
  <c r="L6" i="3"/>
  <c r="F9" i="3"/>
  <c r="C9" i="3"/>
  <c r="G9" i="3" l="1"/>
  <c r="E9" i="3"/>
  <c r="D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O2" authorId="0" shapeId="0" xr:uid="{F3D028D6-C6F0-40AC-98AD-084147D6A7A6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YB - Not including since it's so variable and hard to understand.</t>
        </r>
      </text>
    </comment>
  </commentList>
</comments>
</file>

<file path=xl/sharedStrings.xml><?xml version="1.0" encoding="utf-8"?>
<sst xmlns="http://schemas.openxmlformats.org/spreadsheetml/2006/main" count="218" uniqueCount="128">
  <si>
    <t>Survey Year</t>
  </si>
  <si>
    <t>Study Region</t>
  </si>
  <si>
    <t>Hydrophone Type</t>
  </si>
  <si>
    <t>Minimum &amp; Maximum Hydrophone Spacing</t>
  </si>
  <si>
    <t>Hawaiian EEZ</t>
  </si>
  <si>
    <t>Main Hawaiian Islands</t>
  </si>
  <si>
    <t>Marianas Archipelago</t>
  </si>
  <si>
    <t>SE of Hawaiian EEZ</t>
  </si>
  <si>
    <t>Oahu to Palmyra</t>
  </si>
  <si>
    <t>American Samoa - Palmyra Atoll - Oahu</t>
  </si>
  <si>
    <t>EDO EC65</t>
  </si>
  <si>
    <t>APC 42-1021</t>
  </si>
  <si>
    <t>HTI-96-MIN</t>
  </si>
  <si>
    <t>Papahānaumokuākea Marine National Monument</t>
  </si>
  <si>
    <t>Hydrophone Flat Frequency Response</t>
  </si>
  <si>
    <t>2.02.7b</t>
  </si>
  <si>
    <t>PAMGuard Version for Detection</t>
  </si>
  <si>
    <t>2.00.16</t>
  </si>
  <si>
    <t>2.01.05</t>
  </si>
  <si>
    <t>2.02.15</t>
  </si>
  <si>
    <t>Not Pc</t>
  </si>
  <si>
    <t xml:space="preserve"> Acoustically Only Pc</t>
  </si>
  <si>
    <t>Visually Verified Pc</t>
  </si>
  <si>
    <t>Total Acoustic Hours</t>
  </si>
  <si>
    <t>Total Events</t>
  </si>
  <si>
    <t>Events Remaining after signal quantity threshold</t>
  </si>
  <si>
    <t>Unids Classified as Pc</t>
  </si>
  <si>
    <t>% Decrease</t>
  </si>
  <si>
    <t>Cruise Number</t>
  </si>
  <si>
    <t>SE-11-08</t>
  </si>
  <si>
    <t>Events to Classify after SSC</t>
  </si>
  <si>
    <t>Differences</t>
  </si>
  <si>
    <t>Average Decrease</t>
  </si>
  <si>
    <t>No BWs included in total events here</t>
  </si>
  <si>
    <t xml:space="preserve">Total % Decrease to Pc  </t>
  </si>
  <si>
    <t>SE-24-04</t>
  </si>
  <si>
    <t>SE-23-03; LR-24-01</t>
  </si>
  <si>
    <t>SE-21-02</t>
  </si>
  <si>
    <t>SE-20-01</t>
  </si>
  <si>
    <t>SE-19-01</t>
  </si>
  <si>
    <t>SE-18-03</t>
  </si>
  <si>
    <t>SE-16-04</t>
  </si>
  <si>
    <t>SE-15-02</t>
  </si>
  <si>
    <t>MA-1641; SE-1642</t>
  </si>
  <si>
    <t>SE-12-03</t>
  </si>
  <si>
    <t>SE-13-03</t>
  </si>
  <si>
    <t>Total</t>
  </si>
  <si>
    <t>Reduced</t>
  </si>
  <si>
    <t>Pc</t>
  </si>
  <si>
    <t>reduction per cruise</t>
  </si>
  <si>
    <t>Removed from &lt;10</t>
  </si>
  <si>
    <t>SSC</t>
  </si>
  <si>
    <t>total removed</t>
  </si>
  <si>
    <t>Overall reduction %</t>
  </si>
  <si>
    <t>Average reduction %</t>
  </si>
  <si>
    <t>Median reduction %</t>
  </si>
  <si>
    <t>Jen Math :)</t>
  </si>
  <si>
    <t>Suvery Year</t>
  </si>
  <si>
    <t>Banter Threshold</t>
  </si>
  <si>
    <t>Raw</t>
  </si>
  <si>
    <t xml:space="preserve">SA </t>
  </si>
  <si>
    <t xml:space="preserve">SSC </t>
  </si>
  <si>
    <t xml:space="preserve">Raw </t>
  </si>
  <si>
    <t>69 (36)</t>
  </si>
  <si>
    <t>44 (11)</t>
  </si>
  <si>
    <t>55 (25)</t>
  </si>
  <si>
    <t>33 (0)</t>
  </si>
  <si>
    <t>51 (37)</t>
  </si>
  <si>
    <t>33 (19)</t>
  </si>
  <si>
    <t>30 (18)</t>
  </si>
  <si>
    <t>14 (0)</t>
  </si>
  <si>
    <t>14 (4)</t>
  </si>
  <si>
    <t>13 (3)</t>
  </si>
  <si>
    <t>11 (1)</t>
  </si>
  <si>
    <t>10 (0)</t>
  </si>
  <si>
    <t>134 (77)</t>
  </si>
  <si>
    <t>90 (33)</t>
  </si>
  <si>
    <t>96 (44)</t>
  </si>
  <si>
    <t>57 (0)</t>
  </si>
  <si>
    <t>55 (22)</t>
  </si>
  <si>
    <t>41 (8)</t>
  </si>
  <si>
    <t>44 (14)</t>
  </si>
  <si>
    <t>31 (21)</t>
  </si>
  <si>
    <t>17 (7)</t>
  </si>
  <si>
    <t>24 (14)</t>
  </si>
  <si>
    <t>10 (1)</t>
  </si>
  <si>
    <t>9 (0)</t>
  </si>
  <si>
    <t>67 (15)</t>
  </si>
  <si>
    <t>78 (29)</t>
  </si>
  <si>
    <t>52 (0)</t>
  </si>
  <si>
    <t>40 (11)</t>
  </si>
  <si>
    <t>33 (4)</t>
  </si>
  <si>
    <t>36 (7)</t>
  </si>
  <si>
    <t>29 (0)</t>
  </si>
  <si>
    <t>21 (13)</t>
  </si>
  <si>
    <t>12 (4)</t>
  </si>
  <si>
    <t>17 (9)</t>
  </si>
  <si>
    <t>8 (0)</t>
  </si>
  <si>
    <t>9 (1)</t>
  </si>
  <si>
    <t>70 (25)</t>
  </si>
  <si>
    <t>53 (8)</t>
  </si>
  <si>
    <t>62 (17)</t>
  </si>
  <si>
    <t>45 (0)</t>
  </si>
  <si>
    <t>27 (2)</t>
  </si>
  <si>
    <t>25 (0)</t>
  </si>
  <si>
    <t>6 (2)</t>
  </si>
  <si>
    <t>5 (1)</t>
  </si>
  <si>
    <t>4 (0)</t>
  </si>
  <si>
    <t>6 (0)</t>
  </si>
  <si>
    <t>39 (4)</t>
  </si>
  <si>
    <t>36 (1)</t>
  </si>
  <si>
    <t>38 (3)</t>
  </si>
  <si>
    <t>35 (0)</t>
  </si>
  <si>
    <t>3 (0)</t>
  </si>
  <si>
    <t>12 (0)</t>
  </si>
  <si>
    <t>Visually-Verified Acoustic Pseudorca Events</t>
  </si>
  <si>
    <t>Visually-Verified Acoustic Other Events</t>
  </si>
  <si>
    <t>8; 1</t>
  </si>
  <si>
    <t>LR-17-05; SE-17-06</t>
  </si>
  <si>
    <t>10; 11</t>
  </si>
  <si>
    <t>(false positives)</t>
  </si>
  <si>
    <t>SA &amp; SSC</t>
  </si>
  <si>
    <t>References for more details about the survey</t>
  </si>
  <si>
    <t xml:space="preserve">Sampling Rate </t>
  </si>
  <si>
    <t>192 kHz</t>
  </si>
  <si>
    <t>500 kHz</t>
  </si>
  <si>
    <t>2 - 40 kHz</t>
  </si>
  <si>
    <t>2 – 85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</si>
</sst>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/>
    <xf numFmtId="0" fontId="0" fillId="0" borderId="0" xfId="0" applyBorder="1"/>
    <xf numFmtId="0" fontId="0" fillId="2" borderId="7" xfId="0" applyFill="1" applyBorder="1"/>
    <xf numFmtId="0" fontId="0" fillId="2" borderId="6" xfId="0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4" fillId="2" borderId="9" xfId="0" applyFont="1" applyFill="1" applyBorder="1" applyAlignment="1">
      <alignment wrapText="1"/>
    </xf>
    <xf numFmtId="0" fontId="0" fillId="2" borderId="9" xfId="0" applyFill="1" applyBorder="1"/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2A36-BAB4-4DA2-945D-9C525C938092}">
  <dimension ref="B1:R14"/>
  <sheetViews>
    <sheetView zoomScaleNormal="100" workbookViewId="0">
      <selection activeCell="C14" sqref="C14"/>
    </sheetView>
  </sheetViews>
  <sheetFormatPr defaultColWidth="9.109375" defaultRowHeight="14.4" x14ac:dyDescent="0.3"/>
  <cols>
    <col min="1" max="1" width="9.109375" style="24"/>
    <col min="2" max="2" width="15.33203125" style="23" customWidth="1"/>
    <col min="3" max="18" width="12.44140625" style="24" customWidth="1"/>
    <col min="19" max="16384" width="9.109375" style="24"/>
  </cols>
  <sheetData>
    <row r="1" spans="2:18" ht="15" thickBot="1" x14ac:dyDescent="0.35"/>
    <row r="2" spans="2:18" ht="21.6" thickBot="1" x14ac:dyDescent="0.45">
      <c r="B2" s="26"/>
      <c r="C2" s="27" t="s">
        <v>57</v>
      </c>
      <c r="D2" s="28"/>
      <c r="E2" s="28"/>
      <c r="F2" s="28"/>
      <c r="G2" s="29"/>
      <c r="H2" s="29"/>
      <c r="I2" s="29"/>
      <c r="J2" s="29"/>
      <c r="K2" s="29"/>
      <c r="L2" s="30"/>
      <c r="M2" s="30"/>
      <c r="N2" s="30"/>
      <c r="O2" s="30"/>
      <c r="P2" s="31"/>
      <c r="Q2" s="30"/>
      <c r="R2" s="32"/>
    </row>
    <row r="3" spans="2:18" ht="42" x14ac:dyDescent="0.4">
      <c r="B3" s="44" t="s">
        <v>58</v>
      </c>
      <c r="C3" s="33">
        <v>2017</v>
      </c>
      <c r="D3" s="29"/>
      <c r="E3" s="29"/>
      <c r="F3" s="34"/>
      <c r="G3" s="33">
        <v>2023</v>
      </c>
      <c r="H3" s="29"/>
      <c r="I3" s="29"/>
      <c r="J3" s="34"/>
      <c r="K3" s="33">
        <v>2024</v>
      </c>
      <c r="L3" s="30"/>
      <c r="M3" s="30"/>
      <c r="N3" s="32"/>
      <c r="O3" s="33" t="s">
        <v>46</v>
      </c>
      <c r="P3" s="30"/>
      <c r="Q3" s="30"/>
      <c r="R3" s="32"/>
    </row>
    <row r="4" spans="2:18" ht="21" x14ac:dyDescent="0.4">
      <c r="B4" s="35"/>
      <c r="C4" s="36" t="s">
        <v>59</v>
      </c>
      <c r="D4" s="37" t="s">
        <v>60</v>
      </c>
      <c r="E4" s="37" t="s">
        <v>61</v>
      </c>
      <c r="F4" s="38" t="s">
        <v>121</v>
      </c>
      <c r="G4" s="36" t="s">
        <v>62</v>
      </c>
      <c r="H4" s="37" t="s">
        <v>60</v>
      </c>
      <c r="I4" s="37" t="s">
        <v>61</v>
      </c>
      <c r="J4" s="38" t="s">
        <v>121</v>
      </c>
      <c r="K4" s="36" t="s">
        <v>62</v>
      </c>
      <c r="L4" s="37" t="s">
        <v>60</v>
      </c>
      <c r="M4" s="37" t="s">
        <v>61</v>
      </c>
      <c r="N4" s="38" t="s">
        <v>121</v>
      </c>
      <c r="O4" s="36" t="s">
        <v>62</v>
      </c>
      <c r="P4" s="37" t="s">
        <v>60</v>
      </c>
      <c r="Q4" s="37" t="s">
        <v>61</v>
      </c>
      <c r="R4" s="38" t="s">
        <v>121</v>
      </c>
    </row>
    <row r="5" spans="2:18" ht="21" x14ac:dyDescent="0.4">
      <c r="B5" s="39">
        <v>0.5</v>
      </c>
      <c r="C5" s="36" t="s">
        <v>63</v>
      </c>
      <c r="D5" s="37" t="s">
        <v>64</v>
      </c>
      <c r="E5" s="37" t="s">
        <v>65</v>
      </c>
      <c r="F5" s="38" t="s">
        <v>66</v>
      </c>
      <c r="G5" s="36" t="s">
        <v>67</v>
      </c>
      <c r="H5" s="37" t="s">
        <v>68</v>
      </c>
      <c r="I5" s="37" t="s">
        <v>69</v>
      </c>
      <c r="J5" s="38" t="s">
        <v>70</v>
      </c>
      <c r="K5" s="36" t="s">
        <v>71</v>
      </c>
      <c r="L5" s="37" t="s">
        <v>72</v>
      </c>
      <c r="M5" s="37" t="s">
        <v>73</v>
      </c>
      <c r="N5" s="38" t="s">
        <v>74</v>
      </c>
      <c r="O5" s="36" t="s">
        <v>75</v>
      </c>
      <c r="P5" s="37" t="s">
        <v>76</v>
      </c>
      <c r="Q5" s="37" t="s">
        <v>77</v>
      </c>
      <c r="R5" s="38" t="s">
        <v>78</v>
      </c>
    </row>
    <row r="6" spans="2:18" ht="21" x14ac:dyDescent="0.4">
      <c r="B6" s="39">
        <v>0.6</v>
      </c>
      <c r="C6" s="36" t="s">
        <v>79</v>
      </c>
      <c r="D6" s="37" t="s">
        <v>80</v>
      </c>
      <c r="E6" s="37" t="s">
        <v>81</v>
      </c>
      <c r="F6" s="38" t="s">
        <v>66</v>
      </c>
      <c r="G6" s="36" t="s">
        <v>82</v>
      </c>
      <c r="H6" s="37" t="s">
        <v>83</v>
      </c>
      <c r="I6" s="37" t="s">
        <v>84</v>
      </c>
      <c r="J6" s="38" t="s">
        <v>74</v>
      </c>
      <c r="K6" s="36" t="s">
        <v>85</v>
      </c>
      <c r="L6" s="37" t="s">
        <v>86</v>
      </c>
      <c r="M6" s="37" t="s">
        <v>85</v>
      </c>
      <c r="N6" s="38" t="s">
        <v>86</v>
      </c>
      <c r="O6" s="36" t="s">
        <v>77</v>
      </c>
      <c r="P6" s="37" t="s">
        <v>87</v>
      </c>
      <c r="Q6" s="37" t="s">
        <v>88</v>
      </c>
      <c r="R6" s="38" t="s">
        <v>89</v>
      </c>
    </row>
    <row r="7" spans="2:18" ht="21" x14ac:dyDescent="0.4">
      <c r="B7" s="39">
        <v>0.7</v>
      </c>
      <c r="C7" s="36" t="s">
        <v>90</v>
      </c>
      <c r="D7" s="37" t="s">
        <v>91</v>
      </c>
      <c r="E7" s="37" t="s">
        <v>92</v>
      </c>
      <c r="F7" s="38" t="s">
        <v>93</v>
      </c>
      <c r="G7" s="36" t="s">
        <v>94</v>
      </c>
      <c r="H7" s="37" t="s">
        <v>95</v>
      </c>
      <c r="I7" s="37" t="s">
        <v>96</v>
      </c>
      <c r="J7" s="38" t="s">
        <v>97</v>
      </c>
      <c r="K7" s="36" t="s">
        <v>98</v>
      </c>
      <c r="L7" s="37" t="s">
        <v>97</v>
      </c>
      <c r="M7" s="37" t="s">
        <v>98</v>
      </c>
      <c r="N7" s="38" t="s">
        <v>97</v>
      </c>
      <c r="O7" s="36" t="s">
        <v>99</v>
      </c>
      <c r="P7" s="37" t="s">
        <v>100</v>
      </c>
      <c r="Q7" s="37" t="s">
        <v>101</v>
      </c>
      <c r="R7" s="38" t="s">
        <v>102</v>
      </c>
    </row>
    <row r="8" spans="2:18" ht="21" x14ac:dyDescent="0.4">
      <c r="B8" s="39">
        <v>0.8</v>
      </c>
      <c r="C8" s="36" t="s">
        <v>103</v>
      </c>
      <c r="D8" s="37" t="s">
        <v>104</v>
      </c>
      <c r="E8" s="37" t="s">
        <v>103</v>
      </c>
      <c r="F8" s="38" t="s">
        <v>104</v>
      </c>
      <c r="G8" s="36" t="s">
        <v>105</v>
      </c>
      <c r="H8" s="37" t="s">
        <v>106</v>
      </c>
      <c r="I8" s="37" t="s">
        <v>106</v>
      </c>
      <c r="J8" s="38" t="s">
        <v>107</v>
      </c>
      <c r="K8" s="36" t="s">
        <v>108</v>
      </c>
      <c r="L8" s="37" t="s">
        <v>108</v>
      </c>
      <c r="M8" s="37" t="s">
        <v>108</v>
      </c>
      <c r="N8" s="38" t="s">
        <v>108</v>
      </c>
      <c r="O8" s="36" t="s">
        <v>109</v>
      </c>
      <c r="P8" s="37" t="s">
        <v>110</v>
      </c>
      <c r="Q8" s="37" t="s">
        <v>111</v>
      </c>
      <c r="R8" s="38" t="s">
        <v>112</v>
      </c>
    </row>
    <row r="9" spans="2:18" ht="21.6" thickBot="1" x14ac:dyDescent="0.45">
      <c r="B9" s="40">
        <v>0.9</v>
      </c>
      <c r="C9" s="41" t="s">
        <v>108</v>
      </c>
      <c r="D9" s="42" t="s">
        <v>108</v>
      </c>
      <c r="E9" s="42" t="s">
        <v>108</v>
      </c>
      <c r="F9" s="43" t="s">
        <v>108</v>
      </c>
      <c r="G9" s="41" t="s">
        <v>113</v>
      </c>
      <c r="H9" s="42" t="s">
        <v>113</v>
      </c>
      <c r="I9" s="42" t="s">
        <v>113</v>
      </c>
      <c r="J9" s="43" t="s">
        <v>113</v>
      </c>
      <c r="K9" s="41" t="s">
        <v>113</v>
      </c>
      <c r="L9" s="42" t="s">
        <v>113</v>
      </c>
      <c r="M9" s="42" t="s">
        <v>113</v>
      </c>
      <c r="N9" s="43" t="s">
        <v>113</v>
      </c>
      <c r="O9" s="41" t="s">
        <v>114</v>
      </c>
      <c r="P9" s="42" t="s">
        <v>114</v>
      </c>
      <c r="Q9" s="42" t="s">
        <v>114</v>
      </c>
      <c r="R9" s="43" t="s">
        <v>114</v>
      </c>
    </row>
    <row r="14" spans="2:18" x14ac:dyDescent="0.3">
      <c r="C14" s="24" t="s">
        <v>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5"/>
  <sheetViews>
    <sheetView tabSelected="1" workbookViewId="0">
      <selection activeCell="J10" sqref="J10"/>
    </sheetView>
  </sheetViews>
  <sheetFormatPr defaultColWidth="14.33203125" defaultRowHeight="14.4" x14ac:dyDescent="0.3"/>
  <cols>
    <col min="2" max="2" width="10" customWidth="1"/>
    <col min="3" max="3" width="23.33203125" style="1" customWidth="1"/>
    <col min="4" max="4" width="17.21875" style="1" customWidth="1"/>
    <col min="12" max="12" width="23.6640625" customWidth="1"/>
  </cols>
  <sheetData>
    <row r="2" spans="2:15" ht="83.4" customHeight="1" x14ac:dyDescent="0.3">
      <c r="B2" s="12" t="s">
        <v>0</v>
      </c>
      <c r="C2" s="12" t="s">
        <v>1</v>
      </c>
      <c r="D2" s="12" t="s">
        <v>28</v>
      </c>
      <c r="E2" s="12" t="s">
        <v>2</v>
      </c>
      <c r="F2" s="12" t="s">
        <v>14</v>
      </c>
      <c r="G2" s="12" t="s">
        <v>123</v>
      </c>
      <c r="H2" s="12" t="s">
        <v>23</v>
      </c>
      <c r="I2" s="12" t="s">
        <v>16</v>
      </c>
      <c r="J2" s="12" t="s">
        <v>115</v>
      </c>
      <c r="K2" s="12" t="s">
        <v>116</v>
      </c>
      <c r="L2" s="12" t="s">
        <v>122</v>
      </c>
      <c r="O2" s="25" t="s">
        <v>3</v>
      </c>
    </row>
    <row r="3" spans="2:15" ht="28.5" customHeight="1" x14ac:dyDescent="0.3">
      <c r="B3" s="12">
        <v>2010</v>
      </c>
      <c r="C3" s="13" t="s">
        <v>4</v>
      </c>
      <c r="D3" s="13" t="s">
        <v>43</v>
      </c>
      <c r="E3" s="46" t="s">
        <v>10</v>
      </c>
      <c r="F3" s="46" t="s">
        <v>126</v>
      </c>
      <c r="G3" s="46" t="s">
        <v>124</v>
      </c>
      <c r="H3" s="46">
        <v>1445</v>
      </c>
      <c r="I3" s="47" t="s">
        <v>15</v>
      </c>
      <c r="J3" s="47" t="s">
        <v>117</v>
      </c>
      <c r="K3" s="2"/>
      <c r="L3" s="14"/>
      <c r="O3" s="46"/>
    </row>
    <row r="4" spans="2:15" ht="28.5" customHeight="1" x14ac:dyDescent="0.3">
      <c r="B4" s="12">
        <v>2011</v>
      </c>
      <c r="C4" s="13" t="s">
        <v>8</v>
      </c>
      <c r="D4" s="13" t="s">
        <v>29</v>
      </c>
      <c r="E4" s="46" t="s">
        <v>10</v>
      </c>
      <c r="F4" s="46" t="s">
        <v>126</v>
      </c>
      <c r="G4" s="46" t="s">
        <v>124</v>
      </c>
      <c r="H4" s="46">
        <v>253</v>
      </c>
      <c r="I4" s="47" t="s">
        <v>15</v>
      </c>
      <c r="J4" s="47">
        <v>2</v>
      </c>
      <c r="K4" s="2"/>
      <c r="L4" s="14"/>
      <c r="O4" s="46"/>
    </row>
    <row r="5" spans="2:15" ht="28.5" customHeight="1" x14ac:dyDescent="0.3">
      <c r="B5" s="12">
        <v>2012</v>
      </c>
      <c r="C5" s="13" t="s">
        <v>9</v>
      </c>
      <c r="D5" s="13" t="s">
        <v>44</v>
      </c>
      <c r="E5" s="46" t="s">
        <v>10</v>
      </c>
      <c r="F5" s="46" t="s">
        <v>126</v>
      </c>
      <c r="G5" s="46" t="s">
        <v>124</v>
      </c>
      <c r="H5" s="46">
        <v>263</v>
      </c>
      <c r="I5" s="47" t="s">
        <v>15</v>
      </c>
      <c r="J5" s="47">
        <v>1</v>
      </c>
      <c r="K5" s="2"/>
      <c r="L5" s="14"/>
      <c r="O5" s="46"/>
    </row>
    <row r="6" spans="2:15" ht="50.25" customHeight="1" x14ac:dyDescent="0.3">
      <c r="B6" s="12">
        <v>2013</v>
      </c>
      <c r="C6" s="13" t="s">
        <v>13</v>
      </c>
      <c r="D6" s="13" t="s">
        <v>45</v>
      </c>
      <c r="E6" s="46" t="s">
        <v>11</v>
      </c>
      <c r="F6" s="46" t="s">
        <v>126</v>
      </c>
      <c r="G6" s="46" t="s">
        <v>124</v>
      </c>
      <c r="H6" s="46">
        <v>293</v>
      </c>
      <c r="I6" s="47" t="s">
        <v>15</v>
      </c>
      <c r="J6" s="47">
        <v>2</v>
      </c>
      <c r="K6" s="2"/>
      <c r="L6" s="14"/>
      <c r="O6" s="46"/>
    </row>
    <row r="7" spans="2:15" ht="28.5" customHeight="1" x14ac:dyDescent="0.3">
      <c r="B7" s="12">
        <v>2015</v>
      </c>
      <c r="C7" s="13" t="s">
        <v>6</v>
      </c>
      <c r="D7" s="13" t="s">
        <v>42</v>
      </c>
      <c r="E7" s="46" t="s">
        <v>12</v>
      </c>
      <c r="F7" s="46" t="s">
        <v>127</v>
      </c>
      <c r="G7" s="46" t="s">
        <v>125</v>
      </c>
      <c r="H7" s="46"/>
      <c r="I7" s="47" t="s">
        <v>15</v>
      </c>
      <c r="J7" s="47">
        <v>2</v>
      </c>
      <c r="K7" s="2"/>
      <c r="L7" s="14"/>
      <c r="O7" s="46"/>
    </row>
    <row r="8" spans="2:15" ht="28.5" customHeight="1" x14ac:dyDescent="0.3">
      <c r="B8" s="12">
        <v>2016</v>
      </c>
      <c r="C8" s="13" t="s">
        <v>5</v>
      </c>
      <c r="D8" s="13" t="s">
        <v>41</v>
      </c>
      <c r="E8" s="46" t="s">
        <v>12</v>
      </c>
      <c r="F8" s="46" t="s">
        <v>127</v>
      </c>
      <c r="G8" s="46" t="s">
        <v>125</v>
      </c>
      <c r="H8" s="46">
        <v>350</v>
      </c>
      <c r="I8" s="47" t="s">
        <v>15</v>
      </c>
      <c r="J8" s="47">
        <v>1</v>
      </c>
      <c r="K8" s="2"/>
      <c r="L8" s="14"/>
      <c r="O8" s="46"/>
    </row>
    <row r="9" spans="2:15" ht="28.5" customHeight="1" x14ac:dyDescent="0.3">
      <c r="B9" s="12">
        <v>2017</v>
      </c>
      <c r="C9" s="13" t="s">
        <v>4</v>
      </c>
      <c r="D9" s="13" t="s">
        <v>118</v>
      </c>
      <c r="E9" s="46" t="s">
        <v>12</v>
      </c>
      <c r="F9" s="46" t="s">
        <v>127</v>
      </c>
      <c r="G9" s="46" t="s">
        <v>125</v>
      </c>
      <c r="H9" s="46">
        <v>1743</v>
      </c>
      <c r="I9" s="47" t="s">
        <v>17</v>
      </c>
      <c r="J9" s="47" t="s">
        <v>119</v>
      </c>
      <c r="K9" s="2"/>
      <c r="L9" s="14"/>
      <c r="O9" s="46"/>
    </row>
    <row r="10" spans="2:15" ht="28.5" customHeight="1" x14ac:dyDescent="0.3">
      <c r="B10" s="12">
        <v>2018</v>
      </c>
      <c r="C10" s="13" t="s">
        <v>6</v>
      </c>
      <c r="D10" s="13" t="s">
        <v>40</v>
      </c>
      <c r="E10" s="46" t="s">
        <v>12</v>
      </c>
      <c r="F10" s="46" t="s">
        <v>127</v>
      </c>
      <c r="G10" s="46" t="s">
        <v>125</v>
      </c>
      <c r="H10" s="46"/>
      <c r="I10" s="47" t="s">
        <v>18</v>
      </c>
      <c r="J10" s="47"/>
      <c r="K10" s="2"/>
      <c r="L10" s="14"/>
      <c r="O10" s="46"/>
    </row>
    <row r="11" spans="2:15" ht="28.5" customHeight="1" x14ac:dyDescent="0.3">
      <c r="B11" s="12">
        <v>2019</v>
      </c>
      <c r="C11" s="13" t="s">
        <v>5</v>
      </c>
      <c r="D11" s="13" t="s">
        <v>39</v>
      </c>
      <c r="E11" s="46" t="s">
        <v>12</v>
      </c>
      <c r="F11" s="46" t="s">
        <v>127</v>
      </c>
      <c r="G11" s="46" t="s">
        <v>125</v>
      </c>
      <c r="H11" s="46"/>
      <c r="I11" s="47" t="s">
        <v>18</v>
      </c>
      <c r="J11" s="47"/>
      <c r="K11" s="2"/>
      <c r="L11" s="14"/>
      <c r="O11" s="46"/>
    </row>
    <row r="12" spans="2:15" ht="28.5" customHeight="1" x14ac:dyDescent="0.3">
      <c r="B12" s="12">
        <v>2020</v>
      </c>
      <c r="C12" s="13" t="s">
        <v>5</v>
      </c>
      <c r="D12" s="13" t="s">
        <v>38</v>
      </c>
      <c r="E12" s="46" t="s">
        <v>12</v>
      </c>
      <c r="F12" s="46" t="s">
        <v>127</v>
      </c>
      <c r="G12" s="46" t="s">
        <v>125</v>
      </c>
      <c r="H12" s="46"/>
      <c r="I12" s="47" t="s">
        <v>18</v>
      </c>
      <c r="J12" s="47">
        <v>4</v>
      </c>
      <c r="K12" s="2"/>
      <c r="L12" s="14"/>
      <c r="O12" s="46"/>
    </row>
    <row r="13" spans="2:15" ht="28.5" customHeight="1" x14ac:dyDescent="0.3">
      <c r="B13" s="12">
        <v>2021</v>
      </c>
      <c r="C13" s="13" t="s">
        <v>6</v>
      </c>
      <c r="D13" s="13" t="s">
        <v>37</v>
      </c>
      <c r="E13" s="46" t="s">
        <v>12</v>
      </c>
      <c r="F13" s="46" t="s">
        <v>127</v>
      </c>
      <c r="G13" s="46" t="s">
        <v>125</v>
      </c>
      <c r="H13" s="46"/>
      <c r="I13" s="47" t="s">
        <v>18</v>
      </c>
      <c r="J13" s="47">
        <v>9</v>
      </c>
      <c r="K13" s="2"/>
      <c r="L13" s="14"/>
      <c r="O13" s="46"/>
    </row>
    <row r="14" spans="2:15" ht="28.5" customHeight="1" x14ac:dyDescent="0.3">
      <c r="B14" s="12">
        <v>2023</v>
      </c>
      <c r="C14" s="13" t="s">
        <v>4</v>
      </c>
      <c r="D14" s="13" t="s">
        <v>36</v>
      </c>
      <c r="E14" s="46" t="s">
        <v>12</v>
      </c>
      <c r="F14" s="46" t="s">
        <v>127</v>
      </c>
      <c r="G14" s="46" t="s">
        <v>125</v>
      </c>
      <c r="H14" s="46"/>
      <c r="I14" s="47" t="s">
        <v>19</v>
      </c>
      <c r="J14" s="47"/>
      <c r="K14" s="2"/>
      <c r="L14" s="14"/>
      <c r="O14" s="46"/>
    </row>
    <row r="15" spans="2:15" ht="28.5" customHeight="1" x14ac:dyDescent="0.3">
      <c r="B15" s="12">
        <v>2024</v>
      </c>
      <c r="C15" s="13" t="s">
        <v>7</v>
      </c>
      <c r="D15" s="13" t="s">
        <v>35</v>
      </c>
      <c r="E15" s="46" t="s">
        <v>12</v>
      </c>
      <c r="F15" s="46" t="s">
        <v>127</v>
      </c>
      <c r="G15" s="46" t="s">
        <v>125</v>
      </c>
      <c r="H15" s="46"/>
      <c r="I15" s="47" t="s">
        <v>19</v>
      </c>
      <c r="J15" s="47"/>
      <c r="K15" s="2"/>
      <c r="L15" s="14"/>
      <c r="O15" s="46"/>
    </row>
  </sheetData>
  <phoneticPr fontId="8" type="noConversion"/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CA73-E650-4EB7-93C1-D459BAC41A38}">
  <dimension ref="A3:L31"/>
  <sheetViews>
    <sheetView workbookViewId="0">
      <selection activeCell="J20" sqref="J20"/>
    </sheetView>
  </sheetViews>
  <sheetFormatPr defaultRowHeight="14.4" x14ac:dyDescent="0.3"/>
  <cols>
    <col min="1" max="1" width="19.5546875" bestFit="1" customWidth="1"/>
    <col min="2" max="2" width="16.5546875" bestFit="1" customWidth="1"/>
    <col min="4" max="4" width="12.88671875" customWidth="1"/>
    <col min="5" max="5" width="10.44140625" customWidth="1"/>
    <col min="6" max="12" width="10.33203125" customWidth="1"/>
  </cols>
  <sheetData>
    <row r="3" spans="2:12" ht="72.599999999999994" thickBot="1" x14ac:dyDescent="0.35">
      <c r="B3" s="18" t="s">
        <v>0</v>
      </c>
      <c r="C3" s="18" t="s">
        <v>24</v>
      </c>
      <c r="D3" s="18" t="s">
        <v>25</v>
      </c>
      <c r="E3" s="18" t="s">
        <v>27</v>
      </c>
      <c r="F3" s="18" t="s">
        <v>30</v>
      </c>
      <c r="G3" s="18" t="s">
        <v>27</v>
      </c>
      <c r="H3" s="18" t="s">
        <v>26</v>
      </c>
      <c r="I3" s="16"/>
      <c r="J3" s="16" t="s">
        <v>34</v>
      </c>
      <c r="L3" s="15"/>
    </row>
    <row r="4" spans="2:12" ht="15" thickTop="1" x14ac:dyDescent="0.3">
      <c r="B4" s="17">
        <v>2017</v>
      </c>
      <c r="C4" s="17">
        <v>555</v>
      </c>
      <c r="D4" s="17">
        <v>448</v>
      </c>
      <c r="E4" s="17">
        <f t="shared" ref="E4:E9" si="0">ROUND((C4-D4)/C4, 2)</f>
        <v>0.19</v>
      </c>
      <c r="F4" s="17">
        <v>110</v>
      </c>
      <c r="G4" s="17">
        <f>ROUND((D4-F4)/D4, 2)</f>
        <v>0.75</v>
      </c>
      <c r="H4" s="17">
        <v>11</v>
      </c>
      <c r="J4">
        <f>ROUND((C4-33)/C4,2)</f>
        <v>0.94</v>
      </c>
      <c r="L4">
        <f>C4-F4</f>
        <v>445</v>
      </c>
    </row>
    <row r="5" spans="2:12" x14ac:dyDescent="0.3">
      <c r="B5" s="17">
        <v>2023</v>
      </c>
      <c r="C5" s="17">
        <v>388</v>
      </c>
      <c r="D5" s="17">
        <v>321</v>
      </c>
      <c r="E5" s="17">
        <f t="shared" si="0"/>
        <v>0.17</v>
      </c>
      <c r="F5" s="17">
        <v>67</v>
      </c>
      <c r="G5" s="17">
        <f t="shared" ref="G5:G9" si="1">ROUND((D5-F5)/D5, 2)</f>
        <v>0.79</v>
      </c>
      <c r="H5" s="17">
        <v>9</v>
      </c>
      <c r="J5">
        <f>ROUND((C5-14)/C5,2)</f>
        <v>0.96</v>
      </c>
      <c r="L5">
        <f>C5-F5</f>
        <v>321</v>
      </c>
    </row>
    <row r="6" spans="2:12" ht="15" thickBot="1" x14ac:dyDescent="0.35">
      <c r="B6" s="19">
        <v>2024</v>
      </c>
      <c r="C6" s="19">
        <v>122</v>
      </c>
      <c r="D6" s="19">
        <v>87</v>
      </c>
      <c r="E6" s="19">
        <f t="shared" si="0"/>
        <v>0.28999999999999998</v>
      </c>
      <c r="F6" s="19">
        <v>35</v>
      </c>
      <c r="G6" s="19">
        <f t="shared" si="1"/>
        <v>0.6</v>
      </c>
      <c r="H6" s="19">
        <v>0</v>
      </c>
      <c r="J6">
        <f>ROUND((C6-10)/C6,2)</f>
        <v>0.92</v>
      </c>
      <c r="L6">
        <f>C6-F6</f>
        <v>87</v>
      </c>
    </row>
    <row r="7" spans="2:12" ht="15" thickTop="1" x14ac:dyDescent="0.3"/>
    <row r="9" spans="2:12" x14ac:dyDescent="0.3">
      <c r="B9" t="s">
        <v>32</v>
      </c>
      <c r="C9">
        <f>SUM(C4:C6)</f>
        <v>1065</v>
      </c>
      <c r="D9">
        <f>SUM(D4:D6)</f>
        <v>856</v>
      </c>
      <c r="E9">
        <f t="shared" si="0"/>
        <v>0.2</v>
      </c>
      <c r="F9">
        <f>SUM(F4:F6)</f>
        <v>212</v>
      </c>
      <c r="G9">
        <f t="shared" si="1"/>
        <v>0.75</v>
      </c>
    </row>
    <row r="12" spans="2:12" x14ac:dyDescent="0.3">
      <c r="B12" t="s">
        <v>31</v>
      </c>
      <c r="D12">
        <f>C9-D9</f>
        <v>209</v>
      </c>
    </row>
    <row r="14" spans="2:12" x14ac:dyDescent="0.3">
      <c r="C14" t="s">
        <v>33</v>
      </c>
    </row>
    <row r="17" spans="1:5" x14ac:dyDescent="0.3">
      <c r="A17" s="21" t="s">
        <v>56</v>
      </c>
    </row>
    <row r="18" spans="1:5" x14ac:dyDescent="0.3">
      <c r="B18" t="s">
        <v>46</v>
      </c>
      <c r="C18" t="s">
        <v>47</v>
      </c>
      <c r="D18" t="s">
        <v>48</v>
      </c>
      <c r="E18" t="s">
        <v>49</v>
      </c>
    </row>
    <row r="19" spans="1:5" x14ac:dyDescent="0.3">
      <c r="B19">
        <v>555</v>
      </c>
      <c r="C19">
        <v>110</v>
      </c>
      <c r="D19">
        <v>33</v>
      </c>
      <c r="E19" s="20">
        <f>(B19-C19)/B19</f>
        <v>0.80180180180180183</v>
      </c>
    </row>
    <row r="20" spans="1:5" x14ac:dyDescent="0.3">
      <c r="B20">
        <v>388</v>
      </c>
      <c r="C20">
        <v>67</v>
      </c>
      <c r="D20">
        <v>14</v>
      </c>
      <c r="E20" s="20">
        <f t="shared" ref="E20:E21" si="2">(B20-C20)/B20</f>
        <v>0.82731958762886593</v>
      </c>
    </row>
    <row r="21" spans="1:5" x14ac:dyDescent="0.3">
      <c r="B21">
        <v>122</v>
      </c>
      <c r="C21">
        <v>35</v>
      </c>
      <c r="D21">
        <v>10</v>
      </c>
      <c r="E21" s="20">
        <f t="shared" si="2"/>
        <v>0.71311475409836067</v>
      </c>
    </row>
    <row r="22" spans="1:5" x14ac:dyDescent="0.3">
      <c r="A22" s="21" t="s">
        <v>46</v>
      </c>
      <c r="B22" s="21">
        <f>SUM(B19:B21)</f>
        <v>1065</v>
      </c>
      <c r="C22" s="21">
        <f>SUM(C19:C21)</f>
        <v>212</v>
      </c>
      <c r="D22" s="21">
        <f>SUM(D19:D21)</f>
        <v>57</v>
      </c>
      <c r="E22" s="21"/>
    </row>
    <row r="24" spans="1:5" x14ac:dyDescent="0.3">
      <c r="A24" t="s">
        <v>50</v>
      </c>
      <c r="B24">
        <f>1068-755</f>
        <v>313</v>
      </c>
    </row>
    <row r="25" spans="1:5" x14ac:dyDescent="0.3">
      <c r="A25" t="s">
        <v>51</v>
      </c>
      <c r="B25">
        <f>755-212</f>
        <v>543</v>
      </c>
    </row>
    <row r="26" spans="1:5" x14ac:dyDescent="0.3">
      <c r="A26" s="21" t="s">
        <v>52</v>
      </c>
      <c r="B26" s="21">
        <f>B24+B25</f>
        <v>856</v>
      </c>
    </row>
    <row r="28" spans="1:5" x14ac:dyDescent="0.3">
      <c r="A28" s="21" t="s">
        <v>53</v>
      </c>
      <c r="B28" s="22">
        <f>B26/B22</f>
        <v>0.8037558685446009</v>
      </c>
    </row>
    <row r="30" spans="1:5" x14ac:dyDescent="0.3">
      <c r="A30" s="21" t="s">
        <v>54</v>
      </c>
      <c r="B30" s="20">
        <f>AVERAGE(E19:E21)</f>
        <v>0.78074538117634285</v>
      </c>
    </row>
    <row r="31" spans="1:5" x14ac:dyDescent="0.3">
      <c r="A31" t="s">
        <v>55</v>
      </c>
      <c r="B31" s="20">
        <f>MEDIAN(E19:E21)</f>
        <v>0.80180180180180183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C8DF-330E-4085-938E-0299F38AFB9F}">
  <dimension ref="B3:G13"/>
  <sheetViews>
    <sheetView zoomScale="130" zoomScaleNormal="130" workbookViewId="0">
      <selection activeCell="E5" sqref="E5"/>
    </sheetView>
  </sheetViews>
  <sheetFormatPr defaultColWidth="21.5546875" defaultRowHeight="26.25" customHeight="1" x14ac:dyDescent="0.3"/>
  <cols>
    <col min="1" max="1" width="10.33203125" customWidth="1"/>
    <col min="2" max="2" width="10.88671875" customWidth="1"/>
    <col min="3" max="3" width="13.88671875" customWidth="1"/>
    <col min="4" max="4" width="12.5546875" customWidth="1"/>
    <col min="5" max="5" width="11.6640625" customWidth="1"/>
  </cols>
  <sheetData>
    <row r="3" spans="2:7" ht="26.25" customHeight="1" x14ac:dyDescent="0.35">
      <c r="C3" s="45"/>
      <c r="D3" s="45"/>
      <c r="E3" s="45"/>
    </row>
    <row r="4" spans="2:7" ht="56.25" customHeight="1" thickBot="1" x14ac:dyDescent="0.35">
      <c r="B4" s="4"/>
      <c r="C4" s="7" t="s">
        <v>20</v>
      </c>
      <c r="D4" s="5" t="s">
        <v>21</v>
      </c>
      <c r="E4" s="5" t="s">
        <v>22</v>
      </c>
    </row>
    <row r="5" spans="2:7" ht="26.25" customHeight="1" thickTop="1" x14ac:dyDescent="0.3">
      <c r="B5" s="11">
        <v>2017</v>
      </c>
      <c r="C5" s="8">
        <v>522</v>
      </c>
      <c r="D5" s="8">
        <v>12</v>
      </c>
      <c r="E5" s="9">
        <v>21</v>
      </c>
      <c r="F5">
        <f>C5+D5+E5</f>
        <v>555</v>
      </c>
      <c r="G5">
        <f>D5+E5</f>
        <v>33</v>
      </c>
    </row>
    <row r="6" spans="2:7" ht="26.25" customHeight="1" x14ac:dyDescent="0.3">
      <c r="B6" s="6">
        <v>2023</v>
      </c>
      <c r="C6" s="10">
        <v>374</v>
      </c>
      <c r="D6" s="10">
        <v>9</v>
      </c>
      <c r="E6" s="10">
        <v>5</v>
      </c>
      <c r="F6">
        <f t="shared" ref="F6:F7" si="0">C6+D6+E6</f>
        <v>388</v>
      </c>
      <c r="G6">
        <f t="shared" ref="G6:G7" si="1">D6+E6</f>
        <v>14</v>
      </c>
    </row>
    <row r="7" spans="2:7" ht="26.25" customHeight="1" x14ac:dyDescent="0.3">
      <c r="B7" s="6">
        <v>2024</v>
      </c>
      <c r="C7" s="10">
        <v>122</v>
      </c>
      <c r="D7" s="10">
        <v>5</v>
      </c>
      <c r="E7" s="10">
        <v>5</v>
      </c>
      <c r="F7">
        <f t="shared" si="0"/>
        <v>132</v>
      </c>
      <c r="G7">
        <f t="shared" si="1"/>
        <v>10</v>
      </c>
    </row>
    <row r="8" spans="2:7" ht="26.25" customHeight="1" x14ac:dyDescent="0.3">
      <c r="B8" s="3"/>
      <c r="C8" s="3"/>
      <c r="D8" s="3"/>
      <c r="E8" s="3"/>
    </row>
    <row r="9" spans="2:7" ht="26.25" customHeight="1" x14ac:dyDescent="0.3">
      <c r="B9" s="3"/>
      <c r="C9" s="3"/>
      <c r="D9" s="3"/>
      <c r="E9" s="3"/>
    </row>
    <row r="10" spans="2:7" ht="26.25" customHeight="1" x14ac:dyDescent="0.3">
      <c r="B10" s="3"/>
      <c r="C10" s="3"/>
      <c r="D10" s="3"/>
      <c r="E10" s="3"/>
    </row>
    <row r="11" spans="2:7" ht="26.25" customHeight="1" x14ac:dyDescent="0.3">
      <c r="B11" s="3"/>
      <c r="C11" s="3"/>
      <c r="D11" s="3"/>
      <c r="E11" s="3"/>
    </row>
    <row r="12" spans="2:7" ht="26.25" customHeight="1" x14ac:dyDescent="0.3">
      <c r="B12" s="3"/>
      <c r="C12" s="3"/>
      <c r="D12" s="3"/>
      <c r="E12" s="3"/>
    </row>
    <row r="13" spans="2:7" ht="26.25" customHeight="1" x14ac:dyDescent="0.3">
      <c r="B13" s="3"/>
      <c r="C13" s="3"/>
      <c r="D13" s="3"/>
      <c r="E13" s="3"/>
    </row>
  </sheetData>
  <mergeCells count="1">
    <mergeCell ref="C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Threshold_Table</vt:lpstr>
      <vt:lpstr>SuppTable-TS1</vt:lpstr>
      <vt:lpstr>TableX-Results</vt:lpstr>
      <vt:lpstr>VVAO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Barkley</dc:creator>
  <cp:lastModifiedBy>Reviewer</cp:lastModifiedBy>
  <dcterms:created xsi:type="dcterms:W3CDTF">2015-06-05T18:17:20Z</dcterms:created>
  <dcterms:modified xsi:type="dcterms:W3CDTF">2025-11-13T03:10:45Z</dcterms:modified>
</cp:coreProperties>
</file>