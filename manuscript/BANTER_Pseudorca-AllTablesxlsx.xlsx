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56478624-5149-466D-8CC5-9C1B683CE576}" xr6:coauthVersionLast="47" xr6:coauthVersionMax="47" xr10:uidLastSave="{00000000-0000-0000-0000-000000000000}"/>
  <bookViews>
    <workbookView xWindow="-19890" yWindow="1335" windowWidth="19080" windowHeight="12330" activeTab="1" xr2:uid="{00000000-000D-0000-FFFF-FFFF00000000}"/>
  </bookViews>
  <sheets>
    <sheet name="SuppTable-TS1" sheetId="1" r:id="rId1"/>
    <sheet name="Table1-Results" sheetId="3" r:id="rId2"/>
    <sheet name="VVA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6" i="3" l="1"/>
  <c r="J5" i="3"/>
  <c r="J4" i="3"/>
  <c r="G5" i="3"/>
  <c r="G6" i="3"/>
  <c r="G4" i="3"/>
  <c r="E4" i="3"/>
  <c r="E5" i="3"/>
  <c r="E6" i="3"/>
  <c r="D9" i="3"/>
  <c r="D19" i="3"/>
  <c r="D20" i="3"/>
  <c r="D18" i="3"/>
  <c r="F9" i="3"/>
  <c r="C9" i="3"/>
  <c r="G9" i="3" l="1"/>
  <c r="E9" i="3"/>
  <c r="D12" i="3"/>
</calcChain>
</file>

<file path=xl/sharedStrings.xml><?xml version="1.0" encoding="utf-8"?>
<sst xmlns="http://schemas.openxmlformats.org/spreadsheetml/2006/main" count="78" uniqueCount="40">
  <si>
    <t>Survey Year</t>
  </si>
  <si>
    <t>Study Region</t>
  </si>
  <si>
    <t>Hydrophone Type</t>
  </si>
  <si>
    <t>Minimum &amp; Maximum Hydrophone Spacing</t>
  </si>
  <si>
    <t>References for more details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</si>
  <si>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</si>
  <si>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</si>
  <si>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</si>
  <si>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</si>
  <si>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</si>
  <si>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</si>
  <si>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</si>
  <si>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</si>
  <si>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</si>
  <si>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</si>
  <si>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</si>
  <si>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2-40 kHz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</si>
  <si>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</si>
  <si>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</si>
  <si>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</si>
  <si>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</si>
  <si>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</si>
  <si>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</si>
  <si>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</si>
  <si>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</si>
  <si>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Sampling Rate (kHz)</t>
  </si>
  <si>
    <t>2–85 kHz</t>
  </si>
  <si>
    <t>Total Acoustic Hours</t>
  </si>
  <si>
    <t>Total Events</t>
  </si>
  <si>
    <t>Events Remaining after signal quantity threshold</t>
  </si>
  <si>
    <t>Unids Classified as Pc</t>
  </si>
  <si>
    <t>% Decrease</t>
  </si>
  <si>
    <t>Cruise Number</t>
  </si>
  <si>
    <t>MA1641; SE1642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</si>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</sst>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3" fillId="0" borderId="5" xfId="0" applyFont="1" applyBorder="1" applyAlignment="1">
      <alignment horizontal="center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15"/>
  <sheetViews>
    <sheetView workbookViewId="0">
      <selection activeCell="D5" sqref="D5"/>
    </sheetView>
  </sheetViews>
  <sheetFormatPr defaultColWidth="14.33203125" defaultRowHeight="14.4" x14ac:dyDescent="0.3"/>
  <cols>
    <col min="2" max="2" width="10" customWidth="1"/>
    <col min="3" max="4" width="23.33203125" style="1" customWidth="1"/>
  </cols>
  <sheetData>
    <row r="2" spans="2:11" ht="57" customHeight="1" x14ac:dyDescent="0.3">
      <c r="B2" s="12" t="s">
        <v>0</v>
      </c>
      <c r="C2" s="12" t="s">
        <v>1</v>
      </c>
      <c r="D2" s="12" t="s">
        <v>32</v>
      </c>
      <c r="E2" s="12" t="s">
        <v>2</v>
      </c>
      <c r="F2" s="12" t="s">
        <v>3</v>
      </c>
      <c r="G2" s="12" t="s">
        <v>15</v>
      </c>
      <c r="H2" s="12" t="s">
        <v>25</v>
      </c>
      <c r="I2" s="12" t="s">
        <v>27</v>
      </c>
      <c r="J2" s="12" t="s">
        <v>18</v>
      </c>
      <c r="K2" s="12" t="s">
        <v>4</v>
      </c>
    </row>
    <row r="3" spans="2:11" ht="28.5" customHeight="1" x14ac:dyDescent="0.3">
      <c r="B3" s="12">
        <v>2010</v>
      </c>
      <c r="C3" s="13" t="s">
        <v>5</v>
      </c>
      <c r="D3" s="13" t="s">
        <v>33</v>
      </c>
      <c r="E3" s="14" t="s">
        <v>11</v>
      </c>
      <c r="F3" s="14"/>
      <c r="G3" s="14" t="s">
        <v>16</v>
      </c>
      <c r="H3" s="14">
        <v>192</v>
      </c>
      <c r="I3" s="14">
        <v>1445</v>
      </c>
      <c r="J3" s="2" t="s">
        <v>17</v>
      </c>
      <c r="K3" s="14"/>
    </row>
    <row r="4" spans="2:11" ht="28.5" customHeight="1" x14ac:dyDescent="0.3">
      <c r="B4" s="12">
        <v>2011</v>
      </c>
      <c r="C4" s="13" t="s">
        <v>9</v>
      </c>
      <c r="D4" s="13" t="s">
        <v>34</v>
      </c>
      <c r="E4" s="14" t="s">
        <v>11</v>
      </c>
      <c r="F4" s="14"/>
      <c r="G4" s="14" t="s">
        <v>16</v>
      </c>
      <c r="H4" s="14">
        <v>192</v>
      </c>
      <c r="I4" s="14"/>
      <c r="J4" s="2" t="s">
        <v>17</v>
      </c>
      <c r="K4" s="14"/>
    </row>
    <row r="5" spans="2:11" ht="28.5" customHeight="1" x14ac:dyDescent="0.3">
      <c r="B5" s="12">
        <v>2012</v>
      </c>
      <c r="C5" s="13" t="s">
        <v>10</v>
      </c>
      <c r="D5" s="13"/>
      <c r="E5" s="14" t="s">
        <v>11</v>
      </c>
      <c r="F5" s="14"/>
      <c r="G5" s="14" t="s">
        <v>16</v>
      </c>
      <c r="H5" s="14">
        <v>192</v>
      </c>
      <c r="I5" s="14">
        <v>263</v>
      </c>
      <c r="J5" s="2" t="s">
        <v>17</v>
      </c>
      <c r="K5" s="14"/>
    </row>
    <row r="6" spans="2:11" ht="50.25" customHeight="1" x14ac:dyDescent="0.3">
      <c r="B6" s="12">
        <v>2013</v>
      </c>
      <c r="C6" s="13" t="s">
        <v>14</v>
      </c>
      <c r="D6" s="13"/>
      <c r="E6" s="14" t="s">
        <v>12</v>
      </c>
      <c r="F6" s="14"/>
      <c r="G6" s="14" t="s">
        <v>16</v>
      </c>
      <c r="H6" s="14">
        <v>192</v>
      </c>
      <c r="I6" s="14">
        <v>293</v>
      </c>
      <c r="J6" s="2" t="s">
        <v>17</v>
      </c>
      <c r="K6" s="14"/>
    </row>
    <row r="7" spans="2:11" ht="28.5" customHeight="1" x14ac:dyDescent="0.3">
      <c r="B7" s="12">
        <v>2015</v>
      </c>
      <c r="C7" s="13" t="s">
        <v>7</v>
      </c>
      <c r="D7" s="13"/>
      <c r="E7" s="14" t="s">
        <v>13</v>
      </c>
      <c r="F7" s="14"/>
      <c r="G7" s="14" t="s">
        <v>26</v>
      </c>
      <c r="H7" s="14">
        <v>500</v>
      </c>
      <c r="I7" s="14"/>
      <c r="J7" s="2" t="s">
        <v>17</v>
      </c>
      <c r="K7" s="14"/>
    </row>
    <row r="8" spans="2:11" ht="28.5" customHeight="1" x14ac:dyDescent="0.3">
      <c r="B8" s="12">
        <v>2016</v>
      </c>
      <c r="C8" s="13" t="s">
        <v>6</v>
      </c>
      <c r="D8" s="13"/>
      <c r="E8" s="14" t="s">
        <v>13</v>
      </c>
      <c r="F8" s="14"/>
      <c r="G8" s="14" t="s">
        <v>26</v>
      </c>
      <c r="H8" s="14">
        <v>500</v>
      </c>
      <c r="I8" s="14">
        <v>350</v>
      </c>
      <c r="J8" s="2" t="s">
        <v>17</v>
      </c>
      <c r="K8" s="14"/>
    </row>
    <row r="9" spans="2:11" ht="28.5" customHeight="1" x14ac:dyDescent="0.3">
      <c r="B9" s="12">
        <v>2017</v>
      </c>
      <c r="C9" s="13" t="s">
        <v>5</v>
      </c>
      <c r="D9" s="13"/>
      <c r="E9" s="14" t="s">
        <v>13</v>
      </c>
      <c r="F9" s="14"/>
      <c r="G9" s="14" t="s">
        <v>26</v>
      </c>
      <c r="H9" s="14">
        <v>500</v>
      </c>
      <c r="I9" s="14">
        <v>1743</v>
      </c>
      <c r="J9" s="2" t="s">
        <v>19</v>
      </c>
      <c r="K9" s="14"/>
    </row>
    <row r="10" spans="2:11" ht="28.5" customHeight="1" x14ac:dyDescent="0.3">
      <c r="B10" s="12">
        <v>2018</v>
      </c>
      <c r="C10" s="13" t="s">
        <v>7</v>
      </c>
      <c r="D10" s="13"/>
      <c r="E10" s="14" t="s">
        <v>13</v>
      </c>
      <c r="F10" s="14"/>
      <c r="G10" s="14" t="s">
        <v>26</v>
      </c>
      <c r="H10" s="14">
        <v>500</v>
      </c>
      <c r="I10" s="14"/>
      <c r="J10" s="2" t="s">
        <v>20</v>
      </c>
      <c r="K10" s="14"/>
    </row>
    <row r="11" spans="2:11" ht="28.5" customHeight="1" x14ac:dyDescent="0.3">
      <c r="B11" s="12">
        <v>2019</v>
      </c>
      <c r="C11" s="13" t="s">
        <v>6</v>
      </c>
      <c r="D11" s="13"/>
      <c r="E11" s="14" t="s">
        <v>13</v>
      </c>
      <c r="F11" s="14"/>
      <c r="G11" s="14" t="s">
        <v>26</v>
      </c>
      <c r="H11" s="14">
        <v>500</v>
      </c>
      <c r="I11" s="14"/>
      <c r="J11" s="2" t="s">
        <v>20</v>
      </c>
      <c r="K11" s="14"/>
    </row>
    <row r="12" spans="2:11" ht="28.5" customHeight="1" x14ac:dyDescent="0.3">
      <c r="B12" s="12">
        <v>2020</v>
      </c>
      <c r="C12" s="13" t="s">
        <v>6</v>
      </c>
      <c r="D12" s="13"/>
      <c r="E12" s="14" t="s">
        <v>13</v>
      </c>
      <c r="F12" s="14"/>
      <c r="G12" s="14" t="s">
        <v>26</v>
      </c>
      <c r="H12" s="14">
        <v>500</v>
      </c>
      <c r="I12" s="14"/>
      <c r="J12" s="2" t="s">
        <v>20</v>
      </c>
      <c r="K12" s="14"/>
    </row>
    <row r="13" spans="2:11" ht="28.5" customHeight="1" x14ac:dyDescent="0.3">
      <c r="B13" s="12">
        <v>2021</v>
      </c>
      <c r="C13" s="13" t="s">
        <v>7</v>
      </c>
      <c r="D13" s="13"/>
      <c r="E13" s="14" t="s">
        <v>13</v>
      </c>
      <c r="F13" s="14"/>
      <c r="G13" s="14" t="s">
        <v>26</v>
      </c>
      <c r="H13" s="14">
        <v>500</v>
      </c>
      <c r="I13" s="14"/>
      <c r="J13" s="2" t="s">
        <v>20</v>
      </c>
      <c r="K13" s="14"/>
    </row>
    <row r="14" spans="2:11" ht="28.5" customHeight="1" x14ac:dyDescent="0.3">
      <c r="B14" s="12">
        <v>2023</v>
      </c>
      <c r="C14" s="13" t="s">
        <v>5</v>
      </c>
      <c r="D14" s="13"/>
      <c r="E14" s="14" t="s">
        <v>13</v>
      </c>
      <c r="F14" s="14"/>
      <c r="G14" s="14" t="s">
        <v>26</v>
      </c>
      <c r="H14" s="14">
        <v>500</v>
      </c>
      <c r="I14" s="14"/>
      <c r="J14" s="2" t="s">
        <v>21</v>
      </c>
      <c r="K14" s="14"/>
    </row>
    <row r="15" spans="2:11" ht="28.5" customHeight="1" x14ac:dyDescent="0.3">
      <c r="B15" s="12">
        <v>2024</v>
      </c>
      <c r="C15" s="13" t="s">
        <v>8</v>
      </c>
      <c r="D15" s="13"/>
      <c r="E15" s="14" t="s">
        <v>13</v>
      </c>
      <c r="F15" s="14"/>
      <c r="G15" s="14" t="s">
        <v>26</v>
      </c>
      <c r="H15" s="14">
        <v>500</v>
      </c>
      <c r="I15" s="14"/>
      <c r="J15" s="2" t="s">
        <v>21</v>
      </c>
      <c r="K15" s="14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B3:L20"/>
  <sheetViews>
    <sheetView tabSelected="1" workbookViewId="0">
      <selection activeCell="J9" sqref="J9"/>
    </sheetView>
  </sheetViews>
  <sheetFormatPr defaultRowHeight="14.4" x14ac:dyDescent="0.3"/>
  <cols>
    <col min="2" max="2" width="16.5546875" bestFit="1" customWidth="1"/>
    <col min="4" max="4" width="12.88671875" customWidth="1"/>
    <col min="5" max="5" width="10.44140625" customWidth="1"/>
    <col min="6" max="12" width="10.21875" customWidth="1"/>
  </cols>
  <sheetData>
    <row r="3" spans="2:12" ht="72.599999999999994" thickBot="1" x14ac:dyDescent="0.35">
      <c r="B3" s="19" t="s">
        <v>0</v>
      </c>
      <c r="C3" s="19" t="s">
        <v>28</v>
      </c>
      <c r="D3" s="19" t="s">
        <v>29</v>
      </c>
      <c r="E3" s="19" t="s">
        <v>31</v>
      </c>
      <c r="F3" s="19" t="s">
        <v>35</v>
      </c>
      <c r="G3" s="19" t="s">
        <v>31</v>
      </c>
      <c r="H3" s="19" t="s">
        <v>30</v>
      </c>
      <c r="I3" s="16"/>
      <c r="J3" s="16" t="s">
        <v>39</v>
      </c>
      <c r="L3" s="15"/>
    </row>
    <row r="4" spans="2:12" ht="15" thickTop="1" x14ac:dyDescent="0.3">
      <c r="B4" s="18">
        <v>2017</v>
      </c>
      <c r="C4" s="18">
        <v>558</v>
      </c>
      <c r="D4" s="18">
        <v>448</v>
      </c>
      <c r="E4" s="18">
        <f t="shared" ref="E4:E9" si="0">ROUND((C4-D4)/C4, 2)</f>
        <v>0.2</v>
      </c>
      <c r="F4" s="18">
        <v>110</v>
      </c>
      <c r="G4" s="18">
        <f>ROUND((D4-F4)/D4, 2)</f>
        <v>0.75</v>
      </c>
      <c r="H4" s="18">
        <v>11</v>
      </c>
      <c r="J4">
        <f>ROUND((C4-33)/C4,2)</f>
        <v>0.94</v>
      </c>
    </row>
    <row r="5" spans="2:12" x14ac:dyDescent="0.3">
      <c r="B5" s="18">
        <v>2023</v>
      </c>
      <c r="C5" s="18">
        <v>388</v>
      </c>
      <c r="D5" s="18">
        <v>321</v>
      </c>
      <c r="E5" s="18">
        <f t="shared" si="0"/>
        <v>0.17</v>
      </c>
      <c r="F5" s="18">
        <v>67</v>
      </c>
      <c r="G5" s="18">
        <f t="shared" ref="G5:G9" si="1">ROUND((D5-F5)/D5, 2)</f>
        <v>0.79</v>
      </c>
      <c r="H5" s="18">
        <v>9</v>
      </c>
      <c r="J5">
        <f>ROUND((C5-14)/C5,2)</f>
        <v>0.96</v>
      </c>
    </row>
    <row r="6" spans="2:12" ht="15" thickBot="1" x14ac:dyDescent="0.35">
      <c r="B6" s="20">
        <v>2024</v>
      </c>
      <c r="C6" s="20">
        <v>122</v>
      </c>
      <c r="D6" s="20">
        <v>87</v>
      </c>
      <c r="E6" s="20">
        <f t="shared" si="0"/>
        <v>0.28999999999999998</v>
      </c>
      <c r="F6" s="20">
        <v>35</v>
      </c>
      <c r="G6" s="20">
        <f t="shared" si="1"/>
        <v>0.6</v>
      </c>
      <c r="H6" s="20">
        <v>0</v>
      </c>
      <c r="J6">
        <f>ROUND((C6-10)/C6,2)</f>
        <v>0.92</v>
      </c>
    </row>
    <row r="7" spans="2:12" ht="15" thickTop="1" x14ac:dyDescent="0.3"/>
    <row r="9" spans="2:12" x14ac:dyDescent="0.3">
      <c r="B9" t="s">
        <v>37</v>
      </c>
      <c r="C9">
        <f>SUM(C4:C6)</f>
        <v>1068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3">
      <c r="B12" t="s">
        <v>36</v>
      </c>
      <c r="D12">
        <f>C9-D9</f>
        <v>212</v>
      </c>
    </row>
    <row r="14" spans="2:12" x14ac:dyDescent="0.3">
      <c r="C14" t="s">
        <v>38</v>
      </c>
    </row>
    <row r="18" spans="4:4" x14ac:dyDescent="0.3">
      <c r="D18">
        <f>C4-F4</f>
        <v>448</v>
      </c>
    </row>
    <row r="19" spans="4:4" x14ac:dyDescent="0.3">
      <c r="D19">
        <f t="shared" ref="D19:D20" si="2">C5-F5</f>
        <v>321</v>
      </c>
    </row>
    <row r="20" spans="4:4" x14ac:dyDescent="0.3">
      <c r="D20">
        <f t="shared" si="2"/>
        <v>87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E13"/>
  <sheetViews>
    <sheetView workbookViewId="0">
      <selection activeCell="E9" sqref="E9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5" ht="26.25" customHeight="1" x14ac:dyDescent="0.35">
      <c r="C3" s="17"/>
      <c r="D3" s="17"/>
      <c r="E3" s="17"/>
    </row>
    <row r="4" spans="2:5" ht="56.25" customHeight="1" thickBot="1" x14ac:dyDescent="0.35">
      <c r="B4" s="4"/>
      <c r="C4" s="7" t="s">
        <v>22</v>
      </c>
      <c r="D4" s="5" t="s">
        <v>23</v>
      </c>
      <c r="E4" s="5" t="s">
        <v>24</v>
      </c>
    </row>
    <row r="5" spans="2:5" ht="26.25" customHeight="1" thickTop="1" x14ac:dyDescent="0.3">
      <c r="B5" s="11">
        <v>2017</v>
      </c>
      <c r="C5" s="8">
        <v>524</v>
      </c>
      <c r="D5" s="8">
        <v>12</v>
      </c>
      <c r="E5" s="9">
        <v>22</v>
      </c>
    </row>
    <row r="6" spans="2:5" ht="26.25" customHeight="1" x14ac:dyDescent="0.3">
      <c r="B6" s="6">
        <v>2023</v>
      </c>
      <c r="C6" s="10">
        <v>374</v>
      </c>
      <c r="D6" s="10">
        <v>9</v>
      </c>
      <c r="E6" s="10">
        <v>5</v>
      </c>
    </row>
    <row r="7" spans="2:5" ht="26.25" customHeight="1" x14ac:dyDescent="0.3">
      <c r="B7" s="6">
        <v>2024</v>
      </c>
      <c r="C7" s="10">
        <v>113</v>
      </c>
      <c r="D7" s="10">
        <v>4</v>
      </c>
      <c r="E7" s="10">
        <v>5</v>
      </c>
    </row>
    <row r="8" spans="2:5" ht="26.25" customHeight="1" x14ac:dyDescent="0.3">
      <c r="B8" s="3"/>
      <c r="C8" s="3"/>
      <c r="D8" s="3"/>
      <c r="E8" s="3"/>
    </row>
    <row r="9" spans="2:5" ht="26.25" customHeight="1" x14ac:dyDescent="0.3">
      <c r="B9" s="3"/>
      <c r="C9" s="3"/>
      <c r="D9" s="3"/>
      <c r="E9" s="3"/>
    </row>
    <row r="10" spans="2:5" ht="26.25" customHeight="1" x14ac:dyDescent="0.3">
      <c r="B10" s="3"/>
      <c r="C10" s="3"/>
      <c r="D10" s="3"/>
      <c r="E10" s="3"/>
    </row>
    <row r="11" spans="2:5" ht="26.25" customHeight="1" x14ac:dyDescent="0.3">
      <c r="B11" s="3"/>
      <c r="C11" s="3"/>
      <c r="D11" s="3"/>
      <c r="E11" s="3"/>
    </row>
    <row r="12" spans="2:5" ht="26.25" customHeight="1" x14ac:dyDescent="0.3">
      <c r="B12" s="3"/>
      <c r="C12" s="3"/>
      <c r="D12" s="3"/>
      <c r="E12" s="3"/>
    </row>
    <row r="13" spans="2:5" ht="26.25" customHeight="1" x14ac:dyDescent="0.3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SuppTable-TS1</vt:lpstr>
      <vt:lpstr>Table1-Results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2025-08-30T02:34:39Z</dcterms:modified>
</cp:coreProperties>
</file>