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onne.barkley\Github\BANTER_Pseudorca\manuscript\tables\"/>
    </mc:Choice>
  </mc:AlternateContent>
  <xr:revisionPtr revIDLastSave="0" documentId="13_ncr:1_{1A5A2D08-8A73-4F10-B2DA-EDE398C746F4}" xr6:coauthVersionLast="47" xr6:coauthVersionMax="47" xr10:uidLastSave="{00000000-0000-0000-0000-000000000000}"/>
  <bookViews>
    <workbookView xWindow="30240" yWindow="1440" windowWidth="25395" windowHeight="15150" xr2:uid="{EC9BE685-5D83-4C89-BC1D-9E76C073895D}"/>
  </bookViews>
  <sheets>
    <sheet name="Table1-blues" sheetId="3" r:id="rId1"/>
  </sheets>
  <definedNames>
    <definedName name="_xlnm._FilterDatabase" localSheetId="0" hidden="1">'Table1-blues'!$E$4:$X$14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14" i="3" l="1"/>
  <c r="W14" i="3"/>
  <c r="V14" i="3"/>
  <c r="U14" i="3"/>
  <c r="O14" i="3"/>
  <c r="N14" i="3"/>
  <c r="M14" i="3"/>
  <c r="L14" i="3"/>
  <c r="X13" i="3"/>
  <c r="W13" i="3"/>
  <c r="V13" i="3"/>
  <c r="U13" i="3"/>
  <c r="O13" i="3"/>
  <c r="N13" i="3"/>
  <c r="M13" i="3"/>
  <c r="L13" i="3"/>
  <c r="X12" i="3"/>
  <c r="W12" i="3"/>
  <c r="V12" i="3"/>
  <c r="U12" i="3"/>
  <c r="O12" i="3"/>
  <c r="N12" i="3"/>
  <c r="M12" i="3"/>
  <c r="L12" i="3"/>
  <c r="X11" i="3"/>
  <c r="W11" i="3"/>
  <c r="V11" i="3"/>
  <c r="U11" i="3"/>
  <c r="O11" i="3"/>
  <c r="N11" i="3"/>
  <c r="M11" i="3"/>
  <c r="L11" i="3"/>
  <c r="X10" i="3"/>
  <c r="W10" i="3"/>
  <c r="V10" i="3"/>
  <c r="U10" i="3"/>
  <c r="O10" i="3"/>
  <c r="N10" i="3"/>
  <c r="M10" i="3"/>
  <c r="L10" i="3"/>
  <c r="X9" i="3"/>
  <c r="W9" i="3"/>
  <c r="V9" i="3"/>
  <c r="U9" i="3"/>
  <c r="O9" i="3"/>
  <c r="N9" i="3"/>
  <c r="M9" i="3"/>
  <c r="L9" i="3"/>
  <c r="X8" i="3"/>
  <c r="W8" i="3"/>
  <c r="V8" i="3"/>
  <c r="U8" i="3"/>
  <c r="O8" i="3"/>
  <c r="N8" i="3"/>
  <c r="M8" i="3"/>
  <c r="L8" i="3"/>
  <c r="X7" i="3"/>
  <c r="W7" i="3"/>
  <c r="V7" i="3"/>
  <c r="U7" i="3"/>
  <c r="O7" i="3"/>
  <c r="N7" i="3"/>
  <c r="M7" i="3"/>
  <c r="L7" i="3"/>
  <c r="X6" i="3"/>
  <c r="W6" i="3"/>
  <c r="V6" i="3"/>
  <c r="U6" i="3"/>
  <c r="O6" i="3"/>
  <c r="N6" i="3"/>
  <c r="M6" i="3"/>
  <c r="L6" i="3"/>
  <c r="X5" i="3"/>
  <c r="W5" i="3"/>
  <c r="V5" i="3"/>
  <c r="U5" i="3"/>
  <c r="O5" i="3"/>
  <c r="N5" i="3"/>
  <c r="M5" i="3"/>
  <c r="L5" i="3"/>
</calcChain>
</file>

<file path=xl/sharedStrings.xml><?xml version="1.0" encoding="utf-8"?>
<sst xmlns="http://schemas.openxmlformats.org/spreadsheetml/2006/main" count="32" uniqueCount="15">
  <si>
    <t>Classification Threshold</t>
  </si>
  <si>
    <t>Visually-Verified Events</t>
  </si>
  <si>
    <t>Dataset</t>
  </si>
  <si>
    <t>Predicted</t>
  </si>
  <si>
    <t>TP</t>
  </si>
  <si>
    <t>FP</t>
  </si>
  <si>
    <t>TN</t>
  </si>
  <si>
    <t>FN</t>
  </si>
  <si>
    <t>FPR</t>
  </si>
  <si>
    <t>FNR</t>
  </si>
  <si>
    <t>Precision</t>
  </si>
  <si>
    <t>Recall</t>
  </si>
  <si>
    <t>Filtered</t>
  </si>
  <si>
    <t>Unfiltered</t>
  </si>
  <si>
    <t>All Events (Visually-Verified &amp; Acoustic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</si>
</sst>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CFEB"/>
        <bgColor indexed="64"/>
      </patternFill>
    </fill>
    <fill>
      <patternFill patternType="solid">
        <fgColor rgb="FFA2C7FF"/>
        <bgColor indexed="64"/>
      </patternFill>
    </fill>
    <fill>
      <patternFill patternType="solid">
        <fgColor rgb="FF7BAAFF"/>
        <bgColor indexed="64"/>
      </patternFill>
    </fill>
    <fill>
      <patternFill patternType="solid">
        <fgColor rgb="FF4586FF"/>
        <bgColor indexed="64"/>
      </patternFill>
    </fill>
    <fill>
      <patternFill patternType="solid">
        <fgColor rgb="FF0C62F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2" borderId="1" xfId="0" applyFill="1" applyBorder="1"/>
    <xf numFmtId="0" fontId="0" fillId="2" borderId="0" xfId="0" applyFill="1"/>
    <xf numFmtId="0" fontId="6" fillId="2" borderId="6" xfId="0" applyFont="1" applyFill="1" applyBorder="1" applyAlignment="1">
      <alignment vertical="center" textRotation="90"/>
    </xf>
    <xf numFmtId="9" fontId="0" fillId="2" borderId="0" xfId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4" fillId="2" borderId="0" xfId="0" applyFont="1" applyFill="1"/>
    <xf numFmtId="0" fontId="8" fillId="2" borderId="0" xfId="0" applyFont="1" applyFill="1" applyAlignment="1">
      <alignment horizontal="center"/>
    </xf>
    <xf numFmtId="9" fontId="4" fillId="2" borderId="0" xfId="1" applyFont="1" applyFill="1" applyBorder="1" applyAlignment="1">
      <alignment horizontal="center"/>
    </xf>
    <xf numFmtId="0" fontId="4" fillId="0" borderId="0" xfId="0" applyFont="1"/>
    <xf numFmtId="0" fontId="7" fillId="2" borderId="1" xfId="0" applyFont="1" applyFill="1" applyBorder="1" applyAlignment="1">
      <alignment horizontal="center" vertical="center" wrapText="1"/>
    </xf>
    <xf numFmtId="2" fontId="7" fillId="2" borderId="1" xfId="1" applyNumberFormat="1" applyFont="1" applyFill="1" applyBorder="1" applyAlignment="1">
      <alignment horizontal="center" vertical="center"/>
    </xf>
    <xf numFmtId="2" fontId="7" fillId="2" borderId="4" xfId="1" applyNumberFormat="1" applyFont="1" applyFill="1" applyBorder="1" applyAlignment="1">
      <alignment horizontal="center" vertical="center"/>
    </xf>
    <xf numFmtId="2" fontId="7" fillId="2" borderId="8" xfId="1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9" fontId="5" fillId="3" borderId="0" xfId="1" applyFont="1" applyFill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9" fontId="5" fillId="3" borderId="11" xfId="1" applyFont="1" applyFill="1" applyBorder="1" applyAlignment="1">
      <alignment horizontal="center" vertical="center"/>
    </xf>
    <xf numFmtId="9" fontId="5" fillId="3" borderId="12" xfId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9" fontId="5" fillId="3" borderId="0" xfId="1" applyFont="1" applyFill="1" applyBorder="1" applyAlignment="1">
      <alignment horizontal="center" vertical="center"/>
    </xf>
    <xf numFmtId="9" fontId="5" fillId="3" borderId="6" xfId="1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5" fillId="4" borderId="0" xfId="1" applyNumberFormat="1" applyFont="1" applyFill="1" applyAlignment="1">
      <alignment horizontal="center" vertical="center"/>
    </xf>
    <xf numFmtId="9" fontId="5" fillId="4" borderId="0" xfId="1" applyFont="1" applyFill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9" fontId="5" fillId="4" borderId="0" xfId="1" applyFont="1" applyFill="1" applyBorder="1" applyAlignment="1">
      <alignment horizontal="center" vertical="center"/>
    </xf>
    <xf numFmtId="9" fontId="5" fillId="4" borderId="6" xfId="1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5" fillId="5" borderId="0" xfId="1" applyNumberFormat="1" applyFont="1" applyFill="1" applyAlignment="1">
      <alignment horizontal="center" vertical="center"/>
    </xf>
    <xf numFmtId="9" fontId="5" fillId="5" borderId="0" xfId="1" applyFont="1" applyFill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9" fontId="5" fillId="5" borderId="0" xfId="1" applyFont="1" applyFill="1" applyBorder="1" applyAlignment="1">
      <alignment horizontal="center" vertical="center"/>
    </xf>
    <xf numFmtId="9" fontId="5" fillId="5" borderId="6" xfId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9" fontId="5" fillId="6" borderId="0" xfId="1" applyFont="1" applyFill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9" fontId="5" fillId="6" borderId="0" xfId="1" applyFont="1" applyFill="1" applyBorder="1" applyAlignment="1">
      <alignment horizontal="center" vertical="center"/>
    </xf>
    <xf numFmtId="9" fontId="5" fillId="6" borderId="6" xfId="1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9" fontId="5" fillId="7" borderId="0" xfId="1" applyFont="1" applyFill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9" fontId="5" fillId="7" borderId="0" xfId="1" applyFont="1" applyFill="1" applyBorder="1" applyAlignment="1">
      <alignment horizontal="center" vertical="center"/>
    </xf>
    <xf numFmtId="9" fontId="5" fillId="7" borderId="6" xfId="1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9" fontId="5" fillId="7" borderId="1" xfId="1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9" fontId="5" fillId="7" borderId="8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2" borderId="6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0" fillId="0" borderId="0" xfId="0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C62FC"/>
      <color rgb="FF4586FF"/>
      <color rgb="FF7BAAFF"/>
      <color rgb="FFA2C7FF"/>
      <color rgb="FFBFCFEB"/>
      <color rgb="FF034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93D6-9C8B-4CD6-887E-E16AB4CE5FA9}">
  <dimension ref="A2:Z46"/>
  <sheetViews>
    <sheetView tabSelected="1" zoomScale="60" zoomScaleNormal="60" workbookViewId="0">
      <selection activeCell="H33" sqref="H33"/>
    </sheetView>
  </sheetViews>
  <sheetFormatPr defaultRowHeight="14.4" x14ac:dyDescent="0.3"/>
  <cols>
    <col min="1" max="2" width="20.21875" customWidth="1"/>
    <col min="3" max="3" width="16.77734375" customWidth="1"/>
    <col min="4" max="4" width="9.88671875" customWidth="1"/>
    <col min="5" max="5" width="22.21875" customWidth="1"/>
    <col min="6" max="6" width="20.33203125" customWidth="1"/>
    <col min="7" max="7" width="16.5546875" bestFit="1" customWidth="1"/>
    <col min="8" max="13" width="10.77734375" customWidth="1"/>
    <col min="14" max="15" width="15.77734375" customWidth="1"/>
    <col min="16" max="16" width="16.5546875" bestFit="1" customWidth="1"/>
    <col min="17" max="22" width="10.77734375" customWidth="1"/>
    <col min="23" max="24" width="15.77734375" customWidth="1"/>
  </cols>
  <sheetData>
    <row r="2" spans="3:24" ht="46.8" customHeight="1" x14ac:dyDescent="0.55000000000000004">
      <c r="E2" s="1"/>
      <c r="F2" s="57"/>
      <c r="G2" s="57"/>
      <c r="H2" s="57"/>
      <c r="I2" s="57"/>
      <c r="J2" s="57"/>
      <c r="K2" s="57"/>
      <c r="L2" s="57"/>
      <c r="M2" s="57"/>
    </row>
    <row r="3" spans="3:24" ht="59.4" customHeight="1" x14ac:dyDescent="0.3">
      <c r="D3" s="2"/>
      <c r="E3" s="58" t="s">
        <v>0</v>
      </c>
      <c r="F3" s="60" t="s">
        <v>1</v>
      </c>
      <c r="G3" s="61"/>
      <c r="H3" s="61"/>
      <c r="I3" s="61"/>
      <c r="J3" s="61"/>
      <c r="K3" s="61"/>
      <c r="L3" s="61"/>
      <c r="M3" s="61"/>
      <c r="N3" s="61"/>
      <c r="O3" s="62"/>
      <c r="P3" s="63" t="s">
        <v>14</v>
      </c>
      <c r="Q3" s="64"/>
      <c r="R3" s="64"/>
      <c r="S3" s="64"/>
      <c r="T3" s="64"/>
      <c r="U3" s="64"/>
      <c r="V3" s="64"/>
      <c r="W3" s="64"/>
      <c r="X3" s="65"/>
    </row>
    <row r="4" spans="3:24" ht="63" customHeight="1" x14ac:dyDescent="0.3">
      <c r="C4" s="55"/>
      <c r="D4" s="3"/>
      <c r="E4" s="59"/>
      <c r="F4" s="11" t="s">
        <v>2</v>
      </c>
      <c r="G4" s="11" t="s">
        <v>3</v>
      </c>
      <c r="H4" s="11" t="s">
        <v>4</v>
      </c>
      <c r="I4" s="11" t="s">
        <v>5</v>
      </c>
      <c r="J4" s="11" t="s">
        <v>6</v>
      </c>
      <c r="K4" s="11" t="s">
        <v>7</v>
      </c>
      <c r="L4" s="12" t="s">
        <v>8</v>
      </c>
      <c r="M4" s="12" t="s">
        <v>9</v>
      </c>
      <c r="N4" s="13" t="s">
        <v>10</v>
      </c>
      <c r="O4" s="14" t="s">
        <v>11</v>
      </c>
      <c r="P4" s="11" t="s">
        <v>3</v>
      </c>
      <c r="Q4" s="11" t="s">
        <v>4</v>
      </c>
      <c r="R4" s="11" t="s">
        <v>5</v>
      </c>
      <c r="S4" s="11" t="s">
        <v>6</v>
      </c>
      <c r="T4" s="11" t="s">
        <v>7</v>
      </c>
      <c r="U4" s="12" t="s">
        <v>8</v>
      </c>
      <c r="V4" s="12" t="s">
        <v>9</v>
      </c>
      <c r="W4" s="12" t="s">
        <v>10</v>
      </c>
      <c r="X4" s="14" t="s">
        <v>11</v>
      </c>
    </row>
    <row r="5" spans="3:24" s="6" customFormat="1" ht="37.799999999999997" customHeight="1" x14ac:dyDescent="0.3">
      <c r="C5" s="55"/>
      <c r="D5" s="56"/>
      <c r="E5" s="15">
        <v>0.5</v>
      </c>
      <c r="F5" s="16" t="s">
        <v>13</v>
      </c>
      <c r="G5" s="16">
        <v>39</v>
      </c>
      <c r="H5" s="16">
        <v>30</v>
      </c>
      <c r="I5" s="16">
        <v>9</v>
      </c>
      <c r="J5" s="16">
        <v>218</v>
      </c>
      <c r="K5" s="16">
        <v>1</v>
      </c>
      <c r="L5" s="17">
        <f>I5/(I5+J5)</f>
        <v>3.9647577092511016E-2</v>
      </c>
      <c r="M5" s="17">
        <f>K5/(K5+H5)</f>
        <v>3.2258064516129031E-2</v>
      </c>
      <c r="N5" s="17">
        <f>H5/(H5+I5)</f>
        <v>0.76923076923076927</v>
      </c>
      <c r="O5" s="17">
        <f>H5/(H5+K5)</f>
        <v>0.967741935483871</v>
      </c>
      <c r="P5" s="18">
        <v>133</v>
      </c>
      <c r="Q5" s="16">
        <v>58</v>
      </c>
      <c r="R5" s="16">
        <v>75</v>
      </c>
      <c r="S5" s="16">
        <v>928</v>
      </c>
      <c r="T5" s="16">
        <v>1</v>
      </c>
      <c r="U5" s="17">
        <f>R5/(R5+S5)</f>
        <v>7.4775672981056834E-2</v>
      </c>
      <c r="V5" s="19">
        <f t="shared" ref="V5:V14" si="0">T5/(T5+Q5)</f>
        <v>1.6949152542372881E-2</v>
      </c>
      <c r="W5" s="17">
        <f>Q5/(Q5+R5)</f>
        <v>0.43609022556390975</v>
      </c>
      <c r="X5" s="20">
        <f>Q5/(Q5+T5)</f>
        <v>0.98305084745762716</v>
      </c>
    </row>
    <row r="6" spans="3:24" s="6" customFormat="1" ht="37.799999999999997" customHeight="1" x14ac:dyDescent="0.3">
      <c r="C6" s="55"/>
      <c r="D6" s="56"/>
      <c r="E6" s="15">
        <v>0.5</v>
      </c>
      <c r="F6" s="16" t="s">
        <v>12</v>
      </c>
      <c r="G6" s="16">
        <v>27</v>
      </c>
      <c r="H6" s="16">
        <v>27</v>
      </c>
      <c r="I6" s="16">
        <v>0</v>
      </c>
      <c r="J6" s="16">
        <v>40</v>
      </c>
      <c r="K6" s="16">
        <v>4</v>
      </c>
      <c r="L6" s="17">
        <f t="shared" ref="L6:L14" si="1">I6/(I6+J6)</f>
        <v>0</v>
      </c>
      <c r="M6" s="17">
        <f t="shared" ref="M6:M14" si="2">K6/(K6+H6)</f>
        <v>0.12903225806451613</v>
      </c>
      <c r="N6" s="17">
        <f t="shared" ref="N6:N14" si="3">H6/(H6+I6)</f>
        <v>1</v>
      </c>
      <c r="O6" s="17">
        <f t="shared" ref="O6:O14" si="4">H6/(H6+K6)</f>
        <v>0.87096774193548387</v>
      </c>
      <c r="P6" s="21">
        <v>55</v>
      </c>
      <c r="Q6" s="16">
        <v>52</v>
      </c>
      <c r="R6" s="16">
        <v>3</v>
      </c>
      <c r="S6" s="16">
        <v>116</v>
      </c>
      <c r="T6" s="16">
        <v>7</v>
      </c>
      <c r="U6" s="17">
        <f t="shared" ref="U6:U14" si="5">R6/(R6+S6)</f>
        <v>2.5210084033613446E-2</v>
      </c>
      <c r="V6" s="22">
        <f t="shared" si="0"/>
        <v>0.11864406779661017</v>
      </c>
      <c r="W6" s="17">
        <f>Q6/(Q6+R6)</f>
        <v>0.94545454545454544</v>
      </c>
      <c r="X6" s="23">
        <f t="shared" ref="X6:X12" si="6">Q6/(Q6+T6)</f>
        <v>0.88135593220338981</v>
      </c>
    </row>
    <row r="7" spans="3:24" s="6" customFormat="1" ht="37.799999999999997" customHeight="1" x14ac:dyDescent="0.3">
      <c r="C7" s="55"/>
      <c r="D7" s="56"/>
      <c r="E7" s="24">
        <v>0.6</v>
      </c>
      <c r="F7" s="25" t="s">
        <v>13</v>
      </c>
      <c r="G7" s="25">
        <v>33</v>
      </c>
      <c r="H7" s="25">
        <v>30</v>
      </c>
      <c r="I7" s="25">
        <v>3</v>
      </c>
      <c r="J7" s="25">
        <v>218</v>
      </c>
      <c r="K7" s="25">
        <v>1</v>
      </c>
      <c r="L7" s="26">
        <f t="shared" si="1"/>
        <v>1.3574660633484163E-2</v>
      </c>
      <c r="M7" s="27">
        <f t="shared" si="2"/>
        <v>3.2258064516129031E-2</v>
      </c>
      <c r="N7" s="27">
        <f t="shared" si="3"/>
        <v>0.90909090909090906</v>
      </c>
      <c r="O7" s="27">
        <f t="shared" si="4"/>
        <v>0.967741935483871</v>
      </c>
      <c r="P7" s="28">
        <v>95</v>
      </c>
      <c r="Q7" s="25">
        <v>53</v>
      </c>
      <c r="R7" s="25">
        <v>42</v>
      </c>
      <c r="S7" s="25">
        <v>928</v>
      </c>
      <c r="T7" s="25">
        <v>6</v>
      </c>
      <c r="U7" s="27">
        <f t="shared" si="5"/>
        <v>4.3298969072164947E-2</v>
      </c>
      <c r="V7" s="29">
        <f t="shared" si="0"/>
        <v>0.10169491525423729</v>
      </c>
      <c r="W7" s="27">
        <f t="shared" ref="W7:W14" si="7">Q7/(Q7+R7)</f>
        <v>0.55789473684210522</v>
      </c>
      <c r="X7" s="30">
        <f t="shared" si="6"/>
        <v>0.89830508474576276</v>
      </c>
    </row>
    <row r="8" spans="3:24" s="6" customFormat="1" ht="37.799999999999997" customHeight="1" x14ac:dyDescent="0.3">
      <c r="C8" s="55"/>
      <c r="D8" s="56"/>
      <c r="E8" s="24">
        <v>0.6</v>
      </c>
      <c r="F8" s="25" t="s">
        <v>12</v>
      </c>
      <c r="G8" s="25">
        <v>27</v>
      </c>
      <c r="H8" s="25">
        <v>27</v>
      </c>
      <c r="I8" s="25">
        <v>0</v>
      </c>
      <c r="J8" s="25">
        <v>40</v>
      </c>
      <c r="K8" s="25">
        <v>4</v>
      </c>
      <c r="L8" s="27">
        <f t="shared" si="1"/>
        <v>0</v>
      </c>
      <c r="M8" s="27">
        <f t="shared" si="2"/>
        <v>0.12903225806451613</v>
      </c>
      <c r="N8" s="27">
        <f t="shared" si="3"/>
        <v>1</v>
      </c>
      <c r="O8" s="27">
        <f t="shared" si="4"/>
        <v>0.87096774193548387</v>
      </c>
      <c r="P8" s="28">
        <v>48</v>
      </c>
      <c r="Q8" s="25">
        <v>47</v>
      </c>
      <c r="R8" s="25">
        <v>1</v>
      </c>
      <c r="S8" s="25">
        <v>116</v>
      </c>
      <c r="T8" s="25">
        <v>12</v>
      </c>
      <c r="U8" s="27">
        <f t="shared" si="5"/>
        <v>8.5470085470085479E-3</v>
      </c>
      <c r="V8" s="29">
        <f t="shared" si="0"/>
        <v>0.20338983050847459</v>
      </c>
      <c r="W8" s="27">
        <f t="shared" si="7"/>
        <v>0.97916666666666663</v>
      </c>
      <c r="X8" s="30">
        <f t="shared" si="6"/>
        <v>0.79661016949152541</v>
      </c>
    </row>
    <row r="9" spans="3:24" s="6" customFormat="1" ht="37.799999999999997" customHeight="1" x14ac:dyDescent="0.3">
      <c r="D9" s="56"/>
      <c r="E9" s="31">
        <v>0.7</v>
      </c>
      <c r="F9" s="32" t="s">
        <v>13</v>
      </c>
      <c r="G9" s="32">
        <v>30</v>
      </c>
      <c r="H9" s="32">
        <v>29</v>
      </c>
      <c r="I9" s="32">
        <v>1</v>
      </c>
      <c r="J9" s="32">
        <v>218</v>
      </c>
      <c r="K9" s="32">
        <v>2</v>
      </c>
      <c r="L9" s="33">
        <f t="shared" si="1"/>
        <v>4.5662100456621002E-3</v>
      </c>
      <c r="M9" s="34">
        <f t="shared" si="2"/>
        <v>6.4516129032258063E-2</v>
      </c>
      <c r="N9" s="34">
        <f t="shared" si="3"/>
        <v>0.96666666666666667</v>
      </c>
      <c r="O9" s="34">
        <f t="shared" si="4"/>
        <v>0.93548387096774188</v>
      </c>
      <c r="P9" s="35">
        <v>69</v>
      </c>
      <c r="Q9" s="32">
        <v>46</v>
      </c>
      <c r="R9" s="32">
        <v>23</v>
      </c>
      <c r="S9" s="32">
        <v>928</v>
      </c>
      <c r="T9" s="32">
        <v>13</v>
      </c>
      <c r="U9" s="34">
        <f t="shared" si="5"/>
        <v>2.4185068349106203E-2</v>
      </c>
      <c r="V9" s="36">
        <f t="shared" si="0"/>
        <v>0.22033898305084745</v>
      </c>
      <c r="W9" s="34">
        <f t="shared" si="7"/>
        <v>0.66666666666666663</v>
      </c>
      <c r="X9" s="37">
        <f t="shared" si="6"/>
        <v>0.77966101694915257</v>
      </c>
    </row>
    <row r="10" spans="3:24" s="6" customFormat="1" ht="37.799999999999997" customHeight="1" x14ac:dyDescent="0.3">
      <c r="E10" s="31">
        <v>0.7</v>
      </c>
      <c r="F10" s="32" t="s">
        <v>12</v>
      </c>
      <c r="G10" s="32">
        <v>26</v>
      </c>
      <c r="H10" s="32">
        <v>26</v>
      </c>
      <c r="I10" s="32">
        <v>0</v>
      </c>
      <c r="J10" s="32">
        <v>40</v>
      </c>
      <c r="K10" s="32">
        <v>5</v>
      </c>
      <c r="L10" s="34">
        <f t="shared" si="1"/>
        <v>0</v>
      </c>
      <c r="M10" s="34">
        <f t="shared" si="2"/>
        <v>0.16129032258064516</v>
      </c>
      <c r="N10" s="34">
        <f t="shared" si="3"/>
        <v>1</v>
      </c>
      <c r="O10" s="34">
        <f t="shared" si="4"/>
        <v>0.83870967741935487</v>
      </c>
      <c r="P10" s="35">
        <v>40</v>
      </c>
      <c r="Q10" s="32">
        <v>40</v>
      </c>
      <c r="R10" s="32">
        <v>0</v>
      </c>
      <c r="S10" s="32">
        <v>116</v>
      </c>
      <c r="T10" s="32">
        <v>19</v>
      </c>
      <c r="U10" s="34">
        <f t="shared" si="5"/>
        <v>0</v>
      </c>
      <c r="V10" s="36">
        <f t="shared" si="0"/>
        <v>0.32203389830508472</v>
      </c>
      <c r="W10" s="34">
        <f t="shared" si="7"/>
        <v>1</v>
      </c>
      <c r="X10" s="37">
        <f t="shared" si="6"/>
        <v>0.67796610169491522</v>
      </c>
    </row>
    <row r="11" spans="3:24" s="6" customFormat="1" ht="37.799999999999997" customHeight="1" x14ac:dyDescent="0.3">
      <c r="E11" s="38">
        <v>0.8</v>
      </c>
      <c r="F11" s="39" t="s">
        <v>13</v>
      </c>
      <c r="G11" s="39">
        <v>23</v>
      </c>
      <c r="H11" s="39">
        <v>23</v>
      </c>
      <c r="I11" s="39">
        <v>0</v>
      </c>
      <c r="J11" s="39">
        <v>218</v>
      </c>
      <c r="K11" s="39">
        <v>8</v>
      </c>
      <c r="L11" s="40">
        <f t="shared" si="1"/>
        <v>0</v>
      </c>
      <c r="M11" s="40">
        <f t="shared" si="2"/>
        <v>0.25806451612903225</v>
      </c>
      <c r="N11" s="40">
        <f t="shared" si="3"/>
        <v>1</v>
      </c>
      <c r="O11" s="40">
        <f t="shared" si="4"/>
        <v>0.74193548387096775</v>
      </c>
      <c r="P11" s="41">
        <v>39</v>
      </c>
      <c r="Q11" s="39">
        <v>35</v>
      </c>
      <c r="R11" s="39">
        <v>4</v>
      </c>
      <c r="S11" s="39">
        <v>928</v>
      </c>
      <c r="T11" s="39">
        <v>24</v>
      </c>
      <c r="U11" s="40">
        <f t="shared" si="5"/>
        <v>4.2918454935622317E-3</v>
      </c>
      <c r="V11" s="42">
        <f t="shared" si="0"/>
        <v>0.40677966101694918</v>
      </c>
      <c r="W11" s="40">
        <f t="shared" si="7"/>
        <v>0.89743589743589747</v>
      </c>
      <c r="X11" s="43">
        <f t="shared" si="6"/>
        <v>0.59322033898305082</v>
      </c>
    </row>
    <row r="12" spans="3:24" s="6" customFormat="1" ht="37.799999999999997" customHeight="1" x14ac:dyDescent="0.3">
      <c r="E12" s="38">
        <v>0.8</v>
      </c>
      <c r="F12" s="39" t="s">
        <v>12</v>
      </c>
      <c r="G12" s="39">
        <v>22</v>
      </c>
      <c r="H12" s="39">
        <v>22</v>
      </c>
      <c r="I12" s="39">
        <v>0</v>
      </c>
      <c r="J12" s="39">
        <v>40</v>
      </c>
      <c r="K12" s="39">
        <v>9</v>
      </c>
      <c r="L12" s="40">
        <f t="shared" si="1"/>
        <v>0</v>
      </c>
      <c r="M12" s="40">
        <f t="shared" si="2"/>
        <v>0.29032258064516131</v>
      </c>
      <c r="N12" s="40">
        <f t="shared" si="3"/>
        <v>1</v>
      </c>
      <c r="O12" s="40">
        <f t="shared" si="4"/>
        <v>0.70967741935483875</v>
      </c>
      <c r="P12" s="41">
        <v>31</v>
      </c>
      <c r="Q12" s="39">
        <v>31</v>
      </c>
      <c r="R12" s="39">
        <v>0</v>
      </c>
      <c r="S12" s="39">
        <v>116</v>
      </c>
      <c r="T12" s="39">
        <v>28</v>
      </c>
      <c r="U12" s="40">
        <f t="shared" si="5"/>
        <v>0</v>
      </c>
      <c r="V12" s="42">
        <f t="shared" si="0"/>
        <v>0.47457627118644069</v>
      </c>
      <c r="W12" s="40">
        <f t="shared" si="7"/>
        <v>1</v>
      </c>
      <c r="X12" s="43">
        <f t="shared" si="6"/>
        <v>0.52542372881355937</v>
      </c>
    </row>
    <row r="13" spans="3:24" s="6" customFormat="1" ht="37.799999999999997" customHeight="1" x14ac:dyDescent="0.3">
      <c r="E13" s="44">
        <v>0.9</v>
      </c>
      <c r="F13" s="45" t="s">
        <v>13</v>
      </c>
      <c r="G13" s="45">
        <v>10</v>
      </c>
      <c r="H13" s="45">
        <v>10</v>
      </c>
      <c r="I13" s="45">
        <v>0</v>
      </c>
      <c r="J13" s="45">
        <v>218</v>
      </c>
      <c r="K13" s="45">
        <v>21</v>
      </c>
      <c r="L13" s="46">
        <f t="shared" si="1"/>
        <v>0</v>
      </c>
      <c r="M13" s="46">
        <f t="shared" si="2"/>
        <v>0.67741935483870963</v>
      </c>
      <c r="N13" s="46">
        <f t="shared" si="3"/>
        <v>1</v>
      </c>
      <c r="O13" s="46">
        <f t="shared" si="4"/>
        <v>0.32258064516129031</v>
      </c>
      <c r="P13" s="47">
        <v>12</v>
      </c>
      <c r="Q13" s="45">
        <v>12</v>
      </c>
      <c r="R13" s="45">
        <v>0</v>
      </c>
      <c r="S13" s="45">
        <v>928</v>
      </c>
      <c r="T13" s="45">
        <v>47</v>
      </c>
      <c r="U13" s="46">
        <f t="shared" si="5"/>
        <v>0</v>
      </c>
      <c r="V13" s="48">
        <f t="shared" si="0"/>
        <v>0.79661016949152541</v>
      </c>
      <c r="W13" s="46">
        <f t="shared" si="7"/>
        <v>1</v>
      </c>
      <c r="X13" s="49">
        <f>Q13/(Q13+T13)</f>
        <v>0.20338983050847459</v>
      </c>
    </row>
    <row r="14" spans="3:24" s="6" customFormat="1" ht="37.799999999999997" customHeight="1" x14ac:dyDescent="0.3">
      <c r="E14" s="50">
        <v>0.9</v>
      </c>
      <c r="F14" s="51" t="s">
        <v>12</v>
      </c>
      <c r="G14" s="51">
        <v>10</v>
      </c>
      <c r="H14" s="51">
        <v>10</v>
      </c>
      <c r="I14" s="51">
        <v>0</v>
      </c>
      <c r="J14" s="51">
        <v>40</v>
      </c>
      <c r="K14" s="51">
        <v>21</v>
      </c>
      <c r="L14" s="52">
        <f t="shared" si="1"/>
        <v>0</v>
      </c>
      <c r="M14" s="52">
        <f t="shared" si="2"/>
        <v>0.67741935483870963</v>
      </c>
      <c r="N14" s="52">
        <f t="shared" si="3"/>
        <v>1</v>
      </c>
      <c r="O14" s="52">
        <f t="shared" si="4"/>
        <v>0.32258064516129031</v>
      </c>
      <c r="P14" s="53">
        <v>11</v>
      </c>
      <c r="Q14" s="51">
        <v>11</v>
      </c>
      <c r="R14" s="51">
        <v>0</v>
      </c>
      <c r="S14" s="51">
        <v>116</v>
      </c>
      <c r="T14" s="51">
        <v>48</v>
      </c>
      <c r="U14" s="52">
        <f t="shared" si="5"/>
        <v>0</v>
      </c>
      <c r="V14" s="52">
        <f t="shared" si="0"/>
        <v>0.81355932203389836</v>
      </c>
      <c r="W14" s="52">
        <f t="shared" si="7"/>
        <v>1</v>
      </c>
      <c r="X14" s="54">
        <f>Q14/(Q14+T14)</f>
        <v>0.1864406779661017</v>
      </c>
    </row>
    <row r="15" spans="3:24" ht="23.4" x14ac:dyDescent="0.45">
      <c r="E15" s="7"/>
      <c r="F15" s="8"/>
      <c r="G15" s="9"/>
      <c r="H15" s="9"/>
      <c r="I15" s="9"/>
      <c r="J15" s="9"/>
      <c r="K15" s="9"/>
      <c r="L15" s="9"/>
      <c r="M15" s="9"/>
      <c r="N15" s="9"/>
      <c r="O15" s="7"/>
      <c r="P15" s="10"/>
      <c r="Q15" s="10"/>
      <c r="R15" s="10"/>
      <c r="S15" s="10"/>
      <c r="T15" s="10"/>
      <c r="U15" s="10"/>
      <c r="V15" s="10"/>
      <c r="W15" s="10"/>
      <c r="X15" s="10"/>
    </row>
    <row r="16" spans="3:24" x14ac:dyDescent="0.3">
      <c r="E16" s="2"/>
      <c r="F16" s="5"/>
      <c r="G16" s="2"/>
      <c r="H16" s="2"/>
      <c r="I16" s="4"/>
      <c r="J16" s="4"/>
      <c r="K16" s="4"/>
      <c r="L16" s="4"/>
      <c r="M16" s="4"/>
      <c r="N16" s="4"/>
      <c r="O16" s="2"/>
    </row>
    <row r="17" spans="1:26" x14ac:dyDescent="0.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x14ac:dyDescent="0.3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spans="1:26" x14ac:dyDescent="0.3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spans="1:26" ht="25.8" customHeight="1" x14ac:dyDescent="0.3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5.6" customHeight="1" x14ac:dyDescent="0.3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 x14ac:dyDescent="0.3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x14ac:dyDescent="0.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x14ac:dyDescent="0.3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 x14ac:dyDescent="0.3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spans="1:26" x14ac:dyDescent="0.3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 x14ac:dyDescent="0.3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 x14ac:dyDescent="0.3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 x14ac:dyDescent="0.3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 x14ac:dyDescent="0.3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 x14ac:dyDescent="0.3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 x14ac:dyDescent="0.3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 x14ac:dyDescent="0.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 x14ac:dyDescent="0.3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 x14ac:dyDescent="0.3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 x14ac:dyDescent="0.3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 x14ac:dyDescent="0.3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 x14ac:dyDescent="0.3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 x14ac:dyDescent="0.3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 x14ac:dyDescent="0.3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 x14ac:dyDescent="0.3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 x14ac:dyDescent="0.3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 x14ac:dyDescent="0.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 x14ac:dyDescent="0.3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 x14ac:dyDescent="0.3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 x14ac:dyDescent="0.3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</sheetData>
  <mergeCells count="7">
    <mergeCell ref="F2:I2"/>
    <mergeCell ref="J2:M2"/>
    <mergeCell ref="E3:E4"/>
    <mergeCell ref="F3:O3"/>
    <mergeCell ref="P3:X3"/>
    <mergeCell ref="C4:C8"/>
    <mergeCell ref="D5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Table1-blues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Barkley</dc:creator>
  <cp:lastModifiedBy>Yvonne Barkley</cp:lastModifiedBy>
  <dcterms:created xsi:type="dcterms:W3CDTF">2026-01-27T17:50:46Z</dcterms:created>
  <dcterms:modified xsi:type="dcterms:W3CDTF">2026-07-27T23:43:12Z</dcterms:modified>
</cp:coreProperties>
</file>