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onne.barkley\Github\BANTER_Pseudorca\manuscript\tables\"/>
    </mc:Choice>
  </mc:AlternateContent>
  <xr:revisionPtr revIDLastSave="0" documentId="13_ncr:1_{BAF69E70-8BEC-4228-AFE0-4CEE5C4B249B}" xr6:coauthVersionLast="47" xr6:coauthVersionMax="47" xr10:uidLastSave="{00000000-0000-0000-0000-000000000000}"/>
  <bookViews>
    <workbookView xWindow="-108" yWindow="-108" windowWidth="23256" windowHeight="12456" activeTab="1" xr2:uid="{EC9BE685-5D83-4C89-BC1D-9E76C073895D}"/>
  </bookViews>
  <sheets>
    <sheet name="Table1-blues" sheetId="3" r:id="rId1"/>
    <sheet name="Table-Separate filter" sheetId="4" r:id="rId2"/>
    <sheet name="Table1-blues-OLD" sheetId="2" r:id="rId3"/>
    <sheet name="Table1" sheetId="1" r:id="rId4"/>
  </sheets>
  <definedNames>
    <definedName name="_xlnm._FilterDatabase" localSheetId="0" hidden="1">'Table1-blues'!$E$4:$X$14</definedName>
    <definedName name="_xlnm._FilterDatabase" localSheetId="1" hidden="1">'Table-Separate filter'!$B$5:$U$15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0" i="4" l="1"/>
  <c r="T30" i="4"/>
  <c r="S30" i="4"/>
  <c r="R30" i="4"/>
  <c r="U29" i="4"/>
  <c r="T29" i="4"/>
  <c r="S29" i="4"/>
  <c r="R29" i="4"/>
  <c r="U28" i="4"/>
  <c r="T28" i="4"/>
  <c r="S28" i="4"/>
  <c r="R28" i="4"/>
  <c r="U27" i="4"/>
  <c r="T27" i="4"/>
  <c r="S27" i="4"/>
  <c r="R27" i="4"/>
  <c r="U26" i="4"/>
  <c r="T26" i="4"/>
  <c r="S26" i="4"/>
  <c r="R26" i="4"/>
  <c r="U25" i="4"/>
  <c r="T25" i="4"/>
  <c r="S25" i="4"/>
  <c r="R25" i="4"/>
  <c r="U24" i="4"/>
  <c r="T24" i="4"/>
  <c r="S24" i="4"/>
  <c r="R24" i="4"/>
  <c r="U23" i="4"/>
  <c r="T23" i="4"/>
  <c r="S23" i="4"/>
  <c r="R23" i="4"/>
  <c r="U22" i="4"/>
  <c r="T22" i="4"/>
  <c r="S22" i="4"/>
  <c r="R22" i="4"/>
  <c r="U21" i="4"/>
  <c r="T21" i="4"/>
  <c r="S21" i="4"/>
  <c r="R21" i="4"/>
  <c r="U15" i="4"/>
  <c r="T15" i="4"/>
  <c r="S15" i="4"/>
  <c r="R15" i="4"/>
  <c r="L15" i="4"/>
  <c r="K15" i="4"/>
  <c r="J15" i="4"/>
  <c r="I15" i="4"/>
  <c r="U14" i="4"/>
  <c r="T14" i="4"/>
  <c r="S14" i="4"/>
  <c r="R14" i="4"/>
  <c r="L14" i="4"/>
  <c r="K14" i="4"/>
  <c r="J14" i="4"/>
  <c r="I14" i="4"/>
  <c r="U13" i="4"/>
  <c r="T13" i="4"/>
  <c r="S13" i="4"/>
  <c r="R13" i="4"/>
  <c r="L13" i="4"/>
  <c r="K13" i="4"/>
  <c r="J13" i="4"/>
  <c r="I13" i="4"/>
  <c r="U12" i="4"/>
  <c r="T12" i="4"/>
  <c r="S12" i="4"/>
  <c r="R12" i="4"/>
  <c r="L12" i="4"/>
  <c r="K12" i="4"/>
  <c r="J12" i="4"/>
  <c r="I12" i="4"/>
  <c r="U11" i="4"/>
  <c r="T11" i="4"/>
  <c r="S11" i="4"/>
  <c r="R11" i="4"/>
  <c r="L11" i="4"/>
  <c r="K11" i="4"/>
  <c r="J11" i="4"/>
  <c r="I11" i="4"/>
  <c r="U10" i="4"/>
  <c r="T10" i="4"/>
  <c r="S10" i="4"/>
  <c r="R10" i="4"/>
  <c r="L10" i="4"/>
  <c r="K10" i="4"/>
  <c r="J10" i="4"/>
  <c r="I10" i="4"/>
  <c r="U9" i="4"/>
  <c r="T9" i="4"/>
  <c r="S9" i="4"/>
  <c r="R9" i="4"/>
  <c r="L9" i="4"/>
  <c r="K9" i="4"/>
  <c r="J9" i="4"/>
  <c r="I9" i="4"/>
  <c r="U8" i="4"/>
  <c r="T8" i="4"/>
  <c r="S8" i="4"/>
  <c r="R8" i="4"/>
  <c r="L8" i="4"/>
  <c r="K8" i="4"/>
  <c r="J8" i="4"/>
  <c r="I8" i="4"/>
  <c r="U7" i="4"/>
  <c r="T7" i="4"/>
  <c r="S7" i="4"/>
  <c r="R7" i="4"/>
  <c r="L7" i="4"/>
  <c r="K7" i="4"/>
  <c r="J7" i="4"/>
  <c r="I7" i="4"/>
  <c r="U6" i="4"/>
  <c r="T6" i="4"/>
  <c r="S6" i="4"/>
  <c r="R6" i="4"/>
  <c r="L6" i="4"/>
  <c r="K6" i="4"/>
  <c r="J6" i="4"/>
  <c r="I6" i="4"/>
  <c r="X31" i="3"/>
  <c r="W31" i="3"/>
  <c r="V31" i="3"/>
  <c r="U31" i="3"/>
  <c r="O31" i="3"/>
  <c r="N31" i="3"/>
  <c r="M31" i="3"/>
  <c r="L31" i="3"/>
  <c r="D31" i="3"/>
  <c r="C31" i="3"/>
  <c r="X30" i="3"/>
  <c r="W30" i="3"/>
  <c r="V30" i="3"/>
  <c r="U30" i="3"/>
  <c r="O30" i="3"/>
  <c r="N30" i="3"/>
  <c r="M30" i="3"/>
  <c r="L30" i="3"/>
  <c r="D30" i="3"/>
  <c r="C30" i="3"/>
  <c r="X29" i="3"/>
  <c r="W29" i="3"/>
  <c r="V29" i="3"/>
  <c r="U29" i="3"/>
  <c r="O29" i="3"/>
  <c r="N29" i="3"/>
  <c r="M29" i="3"/>
  <c r="L29" i="3"/>
  <c r="D29" i="3"/>
  <c r="C29" i="3"/>
  <c r="X28" i="3"/>
  <c r="W28" i="3"/>
  <c r="V28" i="3"/>
  <c r="U28" i="3"/>
  <c r="O28" i="3"/>
  <c r="N28" i="3"/>
  <c r="M28" i="3"/>
  <c r="L28" i="3"/>
  <c r="D28" i="3"/>
  <c r="C28" i="3"/>
  <c r="X27" i="3"/>
  <c r="W27" i="3"/>
  <c r="V27" i="3"/>
  <c r="U27" i="3"/>
  <c r="O27" i="3"/>
  <c r="N27" i="3"/>
  <c r="M27" i="3"/>
  <c r="L27" i="3"/>
  <c r="D27" i="3"/>
  <c r="C27" i="3"/>
  <c r="X26" i="3"/>
  <c r="W26" i="3"/>
  <c r="V26" i="3"/>
  <c r="U26" i="3"/>
  <c r="O26" i="3"/>
  <c r="N26" i="3"/>
  <c r="M26" i="3"/>
  <c r="L26" i="3"/>
  <c r="D26" i="3"/>
  <c r="C26" i="3"/>
  <c r="X25" i="3"/>
  <c r="W25" i="3"/>
  <c r="V25" i="3"/>
  <c r="U25" i="3"/>
  <c r="O25" i="3"/>
  <c r="N25" i="3"/>
  <c r="M25" i="3"/>
  <c r="L25" i="3"/>
  <c r="D25" i="3"/>
  <c r="C25" i="3"/>
  <c r="X24" i="3"/>
  <c r="W24" i="3"/>
  <c r="V24" i="3"/>
  <c r="U24" i="3"/>
  <c r="O24" i="3"/>
  <c r="N24" i="3"/>
  <c r="M24" i="3"/>
  <c r="L24" i="3"/>
  <c r="D24" i="3"/>
  <c r="C24" i="3"/>
  <c r="Y23" i="3"/>
  <c r="X23" i="3"/>
  <c r="W23" i="3"/>
  <c r="V23" i="3"/>
  <c r="U23" i="3"/>
  <c r="O23" i="3"/>
  <c r="N23" i="3"/>
  <c r="M23" i="3"/>
  <c r="L23" i="3"/>
  <c r="D23" i="3"/>
  <c r="C23" i="3"/>
  <c r="Y22" i="3"/>
  <c r="X22" i="3"/>
  <c r="W22" i="3"/>
  <c r="V22" i="3"/>
  <c r="U22" i="3"/>
  <c r="O22" i="3"/>
  <c r="N22" i="3"/>
  <c r="M22" i="3"/>
  <c r="L22" i="3"/>
  <c r="D22" i="3"/>
  <c r="C22" i="3"/>
  <c r="R18" i="3"/>
  <c r="H18" i="3"/>
  <c r="X14" i="3"/>
  <c r="W14" i="3"/>
  <c r="V14" i="3"/>
  <c r="U14" i="3"/>
  <c r="O14" i="3"/>
  <c r="N14" i="3"/>
  <c r="M14" i="3"/>
  <c r="L14" i="3"/>
  <c r="X13" i="3"/>
  <c r="W13" i="3"/>
  <c r="V13" i="3"/>
  <c r="U13" i="3"/>
  <c r="O13" i="3"/>
  <c r="N13" i="3"/>
  <c r="M13" i="3"/>
  <c r="L13" i="3"/>
  <c r="X12" i="3"/>
  <c r="W12" i="3"/>
  <c r="V12" i="3"/>
  <c r="U12" i="3"/>
  <c r="O12" i="3"/>
  <c r="N12" i="3"/>
  <c r="M12" i="3"/>
  <c r="L12" i="3"/>
  <c r="X11" i="3"/>
  <c r="W11" i="3"/>
  <c r="V11" i="3"/>
  <c r="U11" i="3"/>
  <c r="O11" i="3"/>
  <c r="N11" i="3"/>
  <c r="M11" i="3"/>
  <c r="L11" i="3"/>
  <c r="X10" i="3"/>
  <c r="W10" i="3"/>
  <c r="V10" i="3"/>
  <c r="U10" i="3"/>
  <c r="O10" i="3"/>
  <c r="N10" i="3"/>
  <c r="M10" i="3"/>
  <c r="L10" i="3"/>
  <c r="X9" i="3"/>
  <c r="W9" i="3"/>
  <c r="V9" i="3"/>
  <c r="U9" i="3"/>
  <c r="O9" i="3"/>
  <c r="N9" i="3"/>
  <c r="M9" i="3"/>
  <c r="L9" i="3"/>
  <c r="X8" i="3"/>
  <c r="W8" i="3"/>
  <c r="V8" i="3"/>
  <c r="U8" i="3"/>
  <c r="O8" i="3"/>
  <c r="N8" i="3"/>
  <c r="M8" i="3"/>
  <c r="L8" i="3"/>
  <c r="X7" i="3"/>
  <c r="W7" i="3"/>
  <c r="V7" i="3"/>
  <c r="U7" i="3"/>
  <c r="O7" i="3"/>
  <c r="N7" i="3"/>
  <c r="M7" i="3"/>
  <c r="L7" i="3"/>
  <c r="X6" i="3"/>
  <c r="W6" i="3"/>
  <c r="V6" i="3"/>
  <c r="U6" i="3"/>
  <c r="O6" i="3"/>
  <c r="N6" i="3"/>
  <c r="M6" i="3"/>
  <c r="L6" i="3"/>
  <c r="X5" i="3"/>
  <c r="W5" i="3"/>
  <c r="V5" i="3"/>
  <c r="U5" i="3"/>
  <c r="O5" i="3"/>
  <c r="N5" i="3"/>
  <c r="M5" i="3"/>
  <c r="L5" i="3"/>
  <c r="W6" i="2"/>
  <c r="X31" i="2" l="1"/>
  <c r="W31" i="2"/>
  <c r="V31" i="2"/>
  <c r="U31" i="2"/>
  <c r="O31" i="2"/>
  <c r="N31" i="2"/>
  <c r="M31" i="2"/>
  <c r="L31" i="2"/>
  <c r="D31" i="2"/>
  <c r="C31" i="2"/>
  <c r="X30" i="2"/>
  <c r="W30" i="2"/>
  <c r="V30" i="2"/>
  <c r="U30" i="2"/>
  <c r="O30" i="2"/>
  <c r="N30" i="2"/>
  <c r="M30" i="2"/>
  <c r="L30" i="2"/>
  <c r="D30" i="2"/>
  <c r="C30" i="2"/>
  <c r="X29" i="2"/>
  <c r="W29" i="2"/>
  <c r="V29" i="2"/>
  <c r="U29" i="2"/>
  <c r="O29" i="2"/>
  <c r="N29" i="2"/>
  <c r="M29" i="2"/>
  <c r="L29" i="2"/>
  <c r="D29" i="2"/>
  <c r="C29" i="2"/>
  <c r="X28" i="2"/>
  <c r="W28" i="2"/>
  <c r="V28" i="2"/>
  <c r="U28" i="2"/>
  <c r="O28" i="2"/>
  <c r="N28" i="2"/>
  <c r="M28" i="2"/>
  <c r="L28" i="2"/>
  <c r="D28" i="2"/>
  <c r="C28" i="2"/>
  <c r="X27" i="2"/>
  <c r="W27" i="2"/>
  <c r="V27" i="2"/>
  <c r="U27" i="2"/>
  <c r="O27" i="2"/>
  <c r="N27" i="2"/>
  <c r="M27" i="2"/>
  <c r="L27" i="2"/>
  <c r="D27" i="2"/>
  <c r="C27" i="2"/>
  <c r="X26" i="2"/>
  <c r="W26" i="2"/>
  <c r="V26" i="2"/>
  <c r="U26" i="2"/>
  <c r="O26" i="2"/>
  <c r="N26" i="2"/>
  <c r="M26" i="2"/>
  <c r="L26" i="2"/>
  <c r="D26" i="2"/>
  <c r="C26" i="2"/>
  <c r="X25" i="2"/>
  <c r="W25" i="2"/>
  <c r="V25" i="2"/>
  <c r="U25" i="2"/>
  <c r="O25" i="2"/>
  <c r="N25" i="2"/>
  <c r="M25" i="2"/>
  <c r="L25" i="2"/>
  <c r="D25" i="2"/>
  <c r="C25" i="2"/>
  <c r="X24" i="2"/>
  <c r="W24" i="2"/>
  <c r="V24" i="2"/>
  <c r="U24" i="2"/>
  <c r="O24" i="2"/>
  <c r="N24" i="2"/>
  <c r="M24" i="2"/>
  <c r="L24" i="2"/>
  <c r="D24" i="2"/>
  <c r="C24" i="2"/>
  <c r="Y23" i="2"/>
  <c r="X23" i="2"/>
  <c r="W23" i="2"/>
  <c r="V23" i="2"/>
  <c r="U23" i="2"/>
  <c r="O23" i="2"/>
  <c r="N23" i="2"/>
  <c r="M23" i="2"/>
  <c r="L23" i="2"/>
  <c r="D23" i="2"/>
  <c r="C23" i="2"/>
  <c r="Y22" i="2"/>
  <c r="X22" i="2"/>
  <c r="W22" i="2"/>
  <c r="V22" i="2"/>
  <c r="U22" i="2"/>
  <c r="O22" i="2"/>
  <c r="N22" i="2"/>
  <c r="M22" i="2"/>
  <c r="L22" i="2"/>
  <c r="D22" i="2"/>
  <c r="C22" i="2"/>
  <c r="R18" i="2"/>
  <c r="H18" i="2"/>
  <c r="X14" i="2"/>
  <c r="W14" i="2"/>
  <c r="V14" i="2"/>
  <c r="U14" i="2"/>
  <c r="O14" i="2"/>
  <c r="N14" i="2"/>
  <c r="M14" i="2"/>
  <c r="L14" i="2"/>
  <c r="X13" i="2"/>
  <c r="W13" i="2"/>
  <c r="V13" i="2"/>
  <c r="U13" i="2"/>
  <c r="O13" i="2"/>
  <c r="N13" i="2"/>
  <c r="M13" i="2"/>
  <c r="L13" i="2"/>
  <c r="X12" i="2"/>
  <c r="W12" i="2"/>
  <c r="V12" i="2"/>
  <c r="U12" i="2"/>
  <c r="O12" i="2"/>
  <c r="N12" i="2"/>
  <c r="M12" i="2"/>
  <c r="L12" i="2"/>
  <c r="X11" i="2"/>
  <c r="W11" i="2"/>
  <c r="V11" i="2"/>
  <c r="U11" i="2"/>
  <c r="O11" i="2"/>
  <c r="N11" i="2"/>
  <c r="M11" i="2"/>
  <c r="L11" i="2"/>
  <c r="X10" i="2"/>
  <c r="W10" i="2"/>
  <c r="V10" i="2"/>
  <c r="U10" i="2"/>
  <c r="O10" i="2"/>
  <c r="N10" i="2"/>
  <c r="M10" i="2"/>
  <c r="L10" i="2"/>
  <c r="X9" i="2"/>
  <c r="W9" i="2"/>
  <c r="V9" i="2"/>
  <c r="U9" i="2"/>
  <c r="O9" i="2"/>
  <c r="N9" i="2"/>
  <c r="M9" i="2"/>
  <c r="L9" i="2"/>
  <c r="X8" i="2"/>
  <c r="W8" i="2"/>
  <c r="V8" i="2"/>
  <c r="U8" i="2"/>
  <c r="O8" i="2"/>
  <c r="N8" i="2"/>
  <c r="M8" i="2"/>
  <c r="L8" i="2"/>
  <c r="X7" i="2"/>
  <c r="W7" i="2"/>
  <c r="V7" i="2"/>
  <c r="U7" i="2"/>
  <c r="O7" i="2"/>
  <c r="N7" i="2"/>
  <c r="M7" i="2"/>
  <c r="L7" i="2"/>
  <c r="X6" i="2"/>
  <c r="V6" i="2"/>
  <c r="U6" i="2"/>
  <c r="O6" i="2"/>
  <c r="N6" i="2"/>
  <c r="M6" i="2"/>
  <c r="L6" i="2"/>
  <c r="X5" i="2"/>
  <c r="W5" i="2"/>
  <c r="V5" i="2"/>
  <c r="U5" i="2"/>
  <c r="O5" i="2"/>
  <c r="N5" i="2"/>
  <c r="M5" i="2"/>
  <c r="L5" i="2"/>
  <c r="X31" i="1"/>
  <c r="W31" i="1"/>
  <c r="V31" i="1"/>
  <c r="U31" i="1"/>
  <c r="O31" i="1"/>
  <c r="N31" i="1"/>
  <c r="M31" i="1"/>
  <c r="L31" i="1"/>
  <c r="D31" i="1"/>
  <c r="C31" i="1"/>
  <c r="X30" i="1"/>
  <c r="W30" i="1"/>
  <c r="V30" i="1"/>
  <c r="U30" i="1"/>
  <c r="O30" i="1"/>
  <c r="N30" i="1"/>
  <c r="M30" i="1"/>
  <c r="L30" i="1"/>
  <c r="D30" i="1"/>
  <c r="C30" i="1"/>
  <c r="X29" i="1"/>
  <c r="W29" i="1"/>
  <c r="V29" i="1"/>
  <c r="U29" i="1"/>
  <c r="O29" i="1"/>
  <c r="N29" i="1"/>
  <c r="M29" i="1"/>
  <c r="L29" i="1"/>
  <c r="D29" i="1"/>
  <c r="C29" i="1"/>
  <c r="X28" i="1"/>
  <c r="W28" i="1"/>
  <c r="V28" i="1"/>
  <c r="U28" i="1"/>
  <c r="O28" i="1"/>
  <c r="N28" i="1"/>
  <c r="M28" i="1"/>
  <c r="L28" i="1"/>
  <c r="D28" i="1"/>
  <c r="C28" i="1"/>
  <c r="X27" i="1"/>
  <c r="W27" i="1"/>
  <c r="V27" i="1"/>
  <c r="U27" i="1"/>
  <c r="O27" i="1"/>
  <c r="N27" i="1"/>
  <c r="M27" i="1"/>
  <c r="L27" i="1"/>
  <c r="D27" i="1"/>
  <c r="C27" i="1"/>
  <c r="X26" i="1"/>
  <c r="W26" i="1"/>
  <c r="V26" i="1"/>
  <c r="U26" i="1"/>
  <c r="O26" i="1"/>
  <c r="N26" i="1"/>
  <c r="M26" i="1"/>
  <c r="L26" i="1"/>
  <c r="D26" i="1"/>
  <c r="C26" i="1"/>
  <c r="X25" i="1"/>
  <c r="W25" i="1"/>
  <c r="V25" i="1"/>
  <c r="U25" i="1"/>
  <c r="O25" i="1"/>
  <c r="N25" i="1"/>
  <c r="M25" i="1"/>
  <c r="L25" i="1"/>
  <c r="D25" i="1"/>
  <c r="C25" i="1"/>
  <c r="X24" i="1"/>
  <c r="W24" i="1"/>
  <c r="V24" i="1"/>
  <c r="U24" i="1"/>
  <c r="O24" i="1"/>
  <c r="N24" i="1"/>
  <c r="M24" i="1"/>
  <c r="L24" i="1"/>
  <c r="D24" i="1"/>
  <c r="C24" i="1"/>
  <c r="Y23" i="1"/>
  <c r="X23" i="1"/>
  <c r="W23" i="1"/>
  <c r="V23" i="1"/>
  <c r="U23" i="1"/>
  <c r="O23" i="1"/>
  <c r="N23" i="1"/>
  <c r="M23" i="1"/>
  <c r="L23" i="1"/>
  <c r="D23" i="1"/>
  <c r="C23" i="1"/>
  <c r="Y22" i="1"/>
  <c r="X22" i="1"/>
  <c r="W22" i="1"/>
  <c r="V22" i="1"/>
  <c r="U22" i="1"/>
  <c r="O22" i="1"/>
  <c r="N22" i="1"/>
  <c r="M22" i="1"/>
  <c r="L22" i="1"/>
  <c r="D22" i="1"/>
  <c r="C22" i="1"/>
  <c r="R18" i="1"/>
  <c r="H18" i="1"/>
  <c r="X14" i="1"/>
  <c r="W14" i="1"/>
  <c r="V14" i="1"/>
  <c r="U14" i="1"/>
  <c r="O14" i="1"/>
  <c r="N14" i="1"/>
  <c r="M14" i="1"/>
  <c r="L14" i="1"/>
  <c r="X13" i="1"/>
  <c r="W13" i="1"/>
  <c r="V13" i="1"/>
  <c r="U13" i="1"/>
  <c r="O13" i="1"/>
  <c r="N13" i="1"/>
  <c r="M13" i="1"/>
  <c r="L13" i="1"/>
  <c r="X12" i="1"/>
  <c r="W12" i="1"/>
  <c r="V12" i="1"/>
  <c r="U12" i="1"/>
  <c r="O12" i="1"/>
  <c r="N12" i="1"/>
  <c r="M12" i="1"/>
  <c r="L12" i="1"/>
  <c r="X11" i="1"/>
  <c r="W11" i="1"/>
  <c r="V11" i="1"/>
  <c r="U11" i="1"/>
  <c r="O11" i="1"/>
  <c r="N11" i="1"/>
  <c r="M11" i="1"/>
  <c r="L11" i="1"/>
  <c r="X10" i="1"/>
  <c r="W10" i="1"/>
  <c r="V10" i="1"/>
  <c r="U10" i="1"/>
  <c r="O10" i="1"/>
  <c r="N10" i="1"/>
  <c r="M10" i="1"/>
  <c r="L10" i="1"/>
  <c r="X9" i="1"/>
  <c r="W9" i="1"/>
  <c r="V9" i="1"/>
  <c r="U9" i="1"/>
  <c r="O9" i="1"/>
  <c r="N9" i="1"/>
  <c r="M9" i="1"/>
  <c r="L9" i="1"/>
  <c r="X8" i="1"/>
  <c r="W8" i="1"/>
  <c r="V8" i="1"/>
  <c r="U8" i="1"/>
  <c r="O8" i="1"/>
  <c r="N8" i="1"/>
  <c r="M8" i="1"/>
  <c r="L8" i="1"/>
  <c r="X7" i="1"/>
  <c r="W7" i="1"/>
  <c r="V7" i="1"/>
  <c r="U7" i="1"/>
  <c r="O7" i="1"/>
  <c r="N7" i="1"/>
  <c r="M7" i="1"/>
  <c r="L7" i="1"/>
  <c r="X6" i="1"/>
  <c r="W6" i="1"/>
  <c r="V6" i="1"/>
  <c r="U6" i="1"/>
  <c r="O6" i="1"/>
  <c r="N6" i="1"/>
  <c r="M6" i="1"/>
  <c r="L6" i="1"/>
  <c r="X5" i="1"/>
  <c r="W5" i="1"/>
  <c r="V5" i="1"/>
  <c r="U5" i="1"/>
  <c r="O5" i="1"/>
  <c r="N5" i="1"/>
  <c r="M5" i="1"/>
  <c r="L5" i="1"/>
</calcChain>
</file>

<file path=xl/sharedStrings.xml><?xml version="1.0" encoding="utf-8"?>
<sst xmlns="http://schemas.openxmlformats.org/spreadsheetml/2006/main" count="257" uniqueCount="24">
  <si>
    <t>Classification Threshold</t>
  </si>
  <si>
    <t>Visually-Verified Events</t>
  </si>
  <si>
    <r>
      <t xml:space="preserve">All Events </t>
    </r>
    <r>
      <rPr>
        <sz val="11"/>
        <color theme="1"/>
        <rFont val="Calibri"/>
        <family val="2"/>
        <scheme val="minor"/>
      </rPr>
      <t>(Visually-Verified &amp; Acoustic Only)</t>
    </r>
  </si>
  <si>
    <t>Dataset</t>
  </si>
  <si>
    <t>Predicted</t>
  </si>
  <si>
    <t>TP</t>
  </si>
  <si>
    <t>FP</t>
  </si>
  <si>
    <t>TN</t>
  </si>
  <si>
    <t>FN</t>
  </si>
  <si>
    <t>FPR</t>
  </si>
  <si>
    <t>FNR</t>
  </si>
  <si>
    <t>Precision</t>
  </si>
  <si>
    <t>Recall</t>
  </si>
  <si>
    <t>Baseline</t>
  </si>
  <si>
    <t>Filtered</t>
  </si>
  <si>
    <t>Total VV Predicted (TP+FP+TN+FN)</t>
  </si>
  <si>
    <t>Total VVAO Predicted (TP+FP+TN+FN)</t>
  </si>
  <si>
    <t>Predicted VV</t>
  </si>
  <si>
    <t>Predicted All</t>
  </si>
  <si>
    <t>Predicted as Pc</t>
  </si>
  <si>
    <t>Unfiltered</t>
  </si>
  <si>
    <t>All Events (Visually-Verified &amp; Acoustic Only)</t>
  </si>
  <si>
    <t>MDF Only - All Events (Visually-Verified &amp; Acoustic Only)</t>
  </si>
  <si>
    <t>SSF Only - All Events (Visually-Verified &amp; Acoustic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</si>
</sst>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FCFEB"/>
        <bgColor indexed="64"/>
      </patternFill>
    </fill>
    <fill>
      <patternFill patternType="solid">
        <fgColor rgb="FFA2C7FF"/>
        <bgColor indexed="64"/>
      </patternFill>
    </fill>
    <fill>
      <patternFill patternType="solid">
        <fgColor rgb="FF7BAAFF"/>
        <bgColor indexed="64"/>
      </patternFill>
    </fill>
    <fill>
      <patternFill patternType="solid">
        <fgColor rgb="FF4586FF"/>
        <bgColor indexed="64"/>
      </patternFill>
    </fill>
    <fill>
      <patternFill patternType="solid">
        <fgColor rgb="FF0C62F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0" fillId="2" borderId="1" xfId="0" applyFill="1" applyBorder="1"/>
    <xf numFmtId="0" fontId="0" fillId="2" borderId="0" xfId="0" applyFill="1"/>
    <xf numFmtId="0" fontId="7" fillId="2" borderId="6" xfId="0" applyFont="1" applyFill="1" applyBorder="1" applyAlignment="1">
      <alignment vertical="center" textRotation="90"/>
    </xf>
    <xf numFmtId="0" fontId="8" fillId="2" borderId="1" xfId="0" applyFont="1" applyFill="1" applyBorder="1" applyAlignment="1">
      <alignment horizontal="center" wrapText="1"/>
    </xf>
    <xf numFmtId="2" fontId="2" fillId="2" borderId="1" xfId="1" applyNumberFormat="1" applyFont="1" applyFill="1" applyBorder="1" applyAlignment="1">
      <alignment horizontal="center"/>
    </xf>
    <xf numFmtId="2" fontId="2" fillId="2" borderId="4" xfId="1" applyNumberFormat="1" applyFont="1" applyFill="1" applyBorder="1" applyAlignment="1">
      <alignment horizontal="center"/>
    </xf>
    <xf numFmtId="2" fontId="2" fillId="2" borderId="8" xfId="1" applyNumberFormat="1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9" fontId="0" fillId="3" borderId="0" xfId="1" applyFont="1" applyFill="1" applyAlignment="1">
      <alignment horizontal="center"/>
    </xf>
    <xf numFmtId="0" fontId="0" fillId="3" borderId="10" xfId="0" applyFill="1" applyBorder="1" applyAlignment="1">
      <alignment horizontal="center"/>
    </xf>
    <xf numFmtId="9" fontId="0" fillId="3" borderId="11" xfId="1" applyFont="1" applyFill="1" applyBorder="1" applyAlignment="1">
      <alignment horizontal="center"/>
    </xf>
    <xf numFmtId="9" fontId="0" fillId="3" borderId="12" xfId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9" fontId="0" fillId="2" borderId="0" xfId="1" applyFont="1" applyFill="1" applyAlignment="1">
      <alignment horizontal="center"/>
    </xf>
    <xf numFmtId="0" fontId="0" fillId="2" borderId="13" xfId="0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9" fontId="0" fillId="2" borderId="6" xfId="1" applyFont="1" applyFill="1" applyBorder="1" applyAlignment="1">
      <alignment horizontal="center"/>
    </xf>
    <xf numFmtId="164" fontId="0" fillId="3" borderId="0" xfId="1" applyNumberFormat="1" applyFont="1" applyFill="1" applyAlignment="1">
      <alignment horizontal="center"/>
    </xf>
    <xf numFmtId="0" fontId="0" fillId="3" borderId="13" xfId="0" applyFill="1" applyBorder="1" applyAlignment="1">
      <alignment horizontal="center"/>
    </xf>
    <xf numFmtId="9" fontId="0" fillId="3" borderId="0" xfId="1" applyFont="1" applyFill="1" applyBorder="1" applyAlignment="1">
      <alignment horizontal="center"/>
    </xf>
    <xf numFmtId="9" fontId="0" fillId="3" borderId="6" xfId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9" fontId="0" fillId="2" borderId="8" xfId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7" fillId="0" borderId="0" xfId="0" applyFont="1" applyAlignment="1">
      <alignment vertical="center"/>
    </xf>
    <xf numFmtId="0" fontId="5" fillId="2" borderId="0" xfId="0" applyFont="1" applyFill="1"/>
    <xf numFmtId="0" fontId="10" fillId="2" borderId="0" xfId="0" applyFont="1" applyFill="1" applyAlignment="1">
      <alignment horizontal="center"/>
    </xf>
    <xf numFmtId="9" fontId="5" fillId="2" borderId="0" xfId="1" applyFont="1" applyFill="1" applyBorder="1" applyAlignment="1">
      <alignment horizontal="center"/>
    </xf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2" fontId="9" fillId="2" borderId="1" xfId="1" applyNumberFormat="1" applyFont="1" applyFill="1" applyBorder="1" applyAlignment="1">
      <alignment horizontal="center" vertical="center"/>
    </xf>
    <xf numFmtId="2" fontId="9" fillId="2" borderId="4" xfId="1" applyNumberFormat="1" applyFont="1" applyFill="1" applyBorder="1" applyAlignment="1">
      <alignment horizontal="center" vertical="center"/>
    </xf>
    <xf numFmtId="2" fontId="9" fillId="2" borderId="8" xfId="1" applyNumberFormat="1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9" fontId="6" fillId="4" borderId="0" xfId="1" applyFont="1" applyFill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9" fontId="6" fillId="4" borderId="11" xfId="1" applyFont="1" applyFill="1" applyBorder="1" applyAlignment="1">
      <alignment horizontal="center" vertical="center"/>
    </xf>
    <xf numFmtId="9" fontId="6" fillId="4" borderId="12" xfId="1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9" fontId="6" fillId="4" borderId="0" xfId="1" applyFont="1" applyFill="1" applyBorder="1" applyAlignment="1">
      <alignment horizontal="center" vertical="center"/>
    </xf>
    <xf numFmtId="9" fontId="6" fillId="4" borderId="6" xfId="1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6" fillId="5" borderId="0" xfId="1" applyNumberFormat="1" applyFont="1" applyFill="1" applyAlignment="1">
      <alignment horizontal="center" vertical="center"/>
    </xf>
    <xf numFmtId="9" fontId="6" fillId="5" borderId="0" xfId="1" applyFont="1" applyFill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9" fontId="6" fillId="5" borderId="0" xfId="1" applyFont="1" applyFill="1" applyBorder="1" applyAlignment="1">
      <alignment horizontal="center" vertical="center"/>
    </xf>
    <xf numFmtId="9" fontId="6" fillId="5" borderId="6" xfId="1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4" fontId="6" fillId="6" borderId="0" xfId="1" applyNumberFormat="1" applyFont="1" applyFill="1" applyAlignment="1">
      <alignment horizontal="center" vertical="center"/>
    </xf>
    <xf numFmtId="9" fontId="6" fillId="6" borderId="0" xfId="1" applyFont="1" applyFill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9" fontId="6" fillId="6" borderId="0" xfId="1" applyFont="1" applyFill="1" applyBorder="1" applyAlignment="1">
      <alignment horizontal="center" vertical="center"/>
    </xf>
    <xf numFmtId="9" fontId="6" fillId="6" borderId="6" xfId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9" fontId="6" fillId="7" borderId="0" xfId="1" applyFont="1" applyFill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9" fontId="6" fillId="7" borderId="0" xfId="1" applyFont="1" applyFill="1" applyBorder="1" applyAlignment="1">
      <alignment horizontal="center" vertical="center"/>
    </xf>
    <xf numFmtId="9" fontId="6" fillId="7" borderId="6" xfId="1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9" fontId="6" fillId="8" borderId="0" xfId="1" applyFont="1" applyFill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9" fontId="6" fillId="8" borderId="0" xfId="1" applyFont="1" applyFill="1" applyBorder="1" applyAlignment="1">
      <alignment horizontal="center" vertical="center"/>
    </xf>
    <xf numFmtId="9" fontId="6" fillId="8" borderId="6" xfId="1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9" fontId="6" fillId="8" borderId="1" xfId="1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9" fontId="6" fillId="8" borderId="8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2" borderId="6" xfId="0" applyFont="1" applyFill="1" applyBorder="1" applyAlignment="1">
      <alignment horizontal="center" vertical="center" textRotation="90" wrapText="1"/>
    </xf>
    <xf numFmtId="0" fontId="4" fillId="2" borderId="2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C62FC"/>
      <color rgb="FF4586FF"/>
      <color rgb="FF7BAAFF"/>
      <color rgb="FFA2C7FF"/>
      <color rgb="FFBFCFEB"/>
      <color rgb="FF034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93D6-9C8B-4CD6-887E-E16AB4CE5FA9}">
  <dimension ref="C2:Y31"/>
  <sheetViews>
    <sheetView topLeftCell="E1" zoomScale="60" zoomScaleNormal="60" workbookViewId="0">
      <selection activeCell="E3" sqref="E3:X14"/>
    </sheetView>
  </sheetViews>
  <sheetFormatPr defaultRowHeight="14.4" x14ac:dyDescent="0.3"/>
  <cols>
    <col min="1" max="2" width="20.21875" customWidth="1"/>
    <col min="3" max="3" width="16.77734375" customWidth="1"/>
    <col min="4" max="4" width="9.88671875" customWidth="1"/>
    <col min="5" max="5" width="22.21875" customWidth="1"/>
    <col min="6" max="6" width="20.33203125" customWidth="1"/>
    <col min="7" max="7" width="16.5546875" bestFit="1" customWidth="1"/>
    <col min="8" max="13" width="10.77734375" customWidth="1"/>
    <col min="14" max="15" width="15.77734375" customWidth="1"/>
    <col min="16" max="16" width="16.5546875" bestFit="1" customWidth="1"/>
    <col min="17" max="22" width="10.77734375" customWidth="1"/>
    <col min="23" max="24" width="15.77734375" customWidth="1"/>
  </cols>
  <sheetData>
    <row r="2" spans="3:24" ht="46.8" customHeight="1" x14ac:dyDescent="0.55000000000000004">
      <c r="E2" s="1"/>
      <c r="F2" s="79"/>
      <c r="G2" s="79"/>
      <c r="H2" s="79"/>
      <c r="I2" s="79"/>
      <c r="J2" s="79"/>
      <c r="K2" s="79"/>
      <c r="L2" s="79"/>
      <c r="M2" s="79"/>
    </row>
    <row r="3" spans="3:24" ht="59.4" customHeight="1" x14ac:dyDescent="0.3">
      <c r="D3" s="2"/>
      <c r="E3" s="80" t="s">
        <v>0</v>
      </c>
      <c r="F3" s="82" t="s">
        <v>1</v>
      </c>
      <c r="G3" s="83"/>
      <c r="H3" s="83"/>
      <c r="I3" s="83"/>
      <c r="J3" s="83"/>
      <c r="K3" s="83"/>
      <c r="L3" s="83"/>
      <c r="M3" s="83"/>
      <c r="N3" s="83"/>
      <c r="O3" s="84"/>
      <c r="P3" s="85" t="s">
        <v>21</v>
      </c>
      <c r="Q3" s="86"/>
      <c r="R3" s="86"/>
      <c r="S3" s="86"/>
      <c r="T3" s="86"/>
      <c r="U3" s="86"/>
      <c r="V3" s="86"/>
      <c r="W3" s="86"/>
      <c r="X3" s="87"/>
    </row>
    <row r="4" spans="3:24" ht="63" customHeight="1" x14ac:dyDescent="0.3">
      <c r="C4" s="88"/>
      <c r="D4" s="3"/>
      <c r="E4" s="81"/>
      <c r="F4" s="35" t="s">
        <v>3</v>
      </c>
      <c r="G4" s="35" t="s">
        <v>4</v>
      </c>
      <c r="H4" s="35" t="s">
        <v>5</v>
      </c>
      <c r="I4" s="35" t="s">
        <v>6</v>
      </c>
      <c r="J4" s="35" t="s">
        <v>7</v>
      </c>
      <c r="K4" s="35" t="s">
        <v>8</v>
      </c>
      <c r="L4" s="36" t="s">
        <v>9</v>
      </c>
      <c r="M4" s="36" t="s">
        <v>10</v>
      </c>
      <c r="N4" s="37" t="s">
        <v>11</v>
      </c>
      <c r="O4" s="38" t="s">
        <v>12</v>
      </c>
      <c r="P4" s="35" t="s">
        <v>4</v>
      </c>
      <c r="Q4" s="35" t="s">
        <v>5</v>
      </c>
      <c r="R4" s="35" t="s">
        <v>6</v>
      </c>
      <c r="S4" s="35" t="s">
        <v>7</v>
      </c>
      <c r="T4" s="35" t="s">
        <v>8</v>
      </c>
      <c r="U4" s="36" t="s">
        <v>9</v>
      </c>
      <c r="V4" s="36" t="s">
        <v>10</v>
      </c>
      <c r="W4" s="36" t="s">
        <v>11</v>
      </c>
      <c r="X4" s="38" t="s">
        <v>12</v>
      </c>
    </row>
    <row r="5" spans="3:24" s="30" customFormat="1" ht="37.799999999999997" customHeight="1" x14ac:dyDescent="0.3">
      <c r="C5" s="88"/>
      <c r="D5" s="89"/>
      <c r="E5" s="39">
        <v>0.5</v>
      </c>
      <c r="F5" s="40" t="s">
        <v>20</v>
      </c>
      <c r="G5" s="40">
        <v>39</v>
      </c>
      <c r="H5" s="40">
        <v>30</v>
      </c>
      <c r="I5" s="40">
        <v>9</v>
      </c>
      <c r="J5" s="40">
        <v>218</v>
      </c>
      <c r="K5" s="40">
        <v>1</v>
      </c>
      <c r="L5" s="41">
        <f>I5/(I5+J5)</f>
        <v>3.9647577092511016E-2</v>
      </c>
      <c r="M5" s="41">
        <f>K5/(K5+H5)</f>
        <v>3.2258064516129031E-2</v>
      </c>
      <c r="N5" s="41">
        <f>H5/(H5+I5)</f>
        <v>0.76923076923076927</v>
      </c>
      <c r="O5" s="41">
        <f>H5/(H5+K5)</f>
        <v>0.967741935483871</v>
      </c>
      <c r="P5" s="42">
        <v>133</v>
      </c>
      <c r="Q5" s="40">
        <v>58</v>
      </c>
      <c r="R5" s="40">
        <v>75</v>
      </c>
      <c r="S5" s="40">
        <v>928</v>
      </c>
      <c r="T5" s="40">
        <v>1</v>
      </c>
      <c r="U5" s="41">
        <f>R5/(R5+S5)</f>
        <v>7.4775672981056834E-2</v>
      </c>
      <c r="V5" s="43">
        <f t="shared" ref="V5:V14" si="0">T5/(T5+Q5)</f>
        <v>1.6949152542372881E-2</v>
      </c>
      <c r="W5" s="41">
        <f>Q5/(Q5+R5)</f>
        <v>0.43609022556390975</v>
      </c>
      <c r="X5" s="44">
        <f>Q5/(Q5+T5)</f>
        <v>0.98305084745762716</v>
      </c>
    </row>
    <row r="6" spans="3:24" s="30" customFormat="1" ht="37.799999999999997" customHeight="1" x14ac:dyDescent="0.3">
      <c r="C6" s="88"/>
      <c r="D6" s="89"/>
      <c r="E6" s="39">
        <v>0.5</v>
      </c>
      <c r="F6" s="40" t="s">
        <v>14</v>
      </c>
      <c r="G6" s="40">
        <v>27</v>
      </c>
      <c r="H6" s="40">
        <v>27</v>
      </c>
      <c r="I6" s="40">
        <v>0</v>
      </c>
      <c r="J6" s="40">
        <v>40</v>
      </c>
      <c r="K6" s="40">
        <v>4</v>
      </c>
      <c r="L6" s="41">
        <f t="shared" ref="L6:L14" si="1">I6/(I6+J6)</f>
        <v>0</v>
      </c>
      <c r="M6" s="41">
        <f t="shared" ref="M6:M14" si="2">K6/(K6+H6)</f>
        <v>0.12903225806451613</v>
      </c>
      <c r="N6" s="41">
        <f t="shared" ref="N6:N14" si="3">H6/(H6+I6)</f>
        <v>1</v>
      </c>
      <c r="O6" s="41">
        <f t="shared" ref="O6:O14" si="4">H6/(H6+K6)</f>
        <v>0.87096774193548387</v>
      </c>
      <c r="P6" s="45">
        <v>55</v>
      </c>
      <c r="Q6" s="40">
        <v>52</v>
      </c>
      <c r="R6" s="40">
        <v>3</v>
      </c>
      <c r="S6" s="40">
        <v>116</v>
      </c>
      <c r="T6" s="40">
        <v>7</v>
      </c>
      <c r="U6" s="41">
        <f t="shared" ref="U6:U14" si="5">R6/(R6+S6)</f>
        <v>2.5210084033613446E-2</v>
      </c>
      <c r="V6" s="46">
        <f t="shared" si="0"/>
        <v>0.11864406779661017</v>
      </c>
      <c r="W6" s="41">
        <f>Q6/(Q6+R6)</f>
        <v>0.94545454545454544</v>
      </c>
      <c r="X6" s="47">
        <f t="shared" ref="X6:X12" si="6">Q6/(Q6+T6)</f>
        <v>0.88135593220338981</v>
      </c>
    </row>
    <row r="7" spans="3:24" s="30" customFormat="1" ht="37.799999999999997" customHeight="1" x14ac:dyDescent="0.3">
      <c r="C7" s="88"/>
      <c r="D7" s="89"/>
      <c r="E7" s="48">
        <v>0.6</v>
      </c>
      <c r="F7" s="49" t="s">
        <v>20</v>
      </c>
      <c r="G7" s="49">
        <v>33</v>
      </c>
      <c r="H7" s="49">
        <v>30</v>
      </c>
      <c r="I7" s="49">
        <v>3</v>
      </c>
      <c r="J7" s="49">
        <v>218</v>
      </c>
      <c r="K7" s="49">
        <v>1</v>
      </c>
      <c r="L7" s="50">
        <f t="shared" si="1"/>
        <v>1.3574660633484163E-2</v>
      </c>
      <c r="M7" s="51">
        <f t="shared" si="2"/>
        <v>3.2258064516129031E-2</v>
      </c>
      <c r="N7" s="51">
        <f t="shared" si="3"/>
        <v>0.90909090909090906</v>
      </c>
      <c r="O7" s="51">
        <f t="shared" si="4"/>
        <v>0.967741935483871</v>
      </c>
      <c r="P7" s="52">
        <v>95</v>
      </c>
      <c r="Q7" s="49">
        <v>53</v>
      </c>
      <c r="R7" s="49">
        <v>42</v>
      </c>
      <c r="S7" s="49">
        <v>928</v>
      </c>
      <c r="T7" s="49">
        <v>6</v>
      </c>
      <c r="U7" s="51">
        <f t="shared" si="5"/>
        <v>4.3298969072164947E-2</v>
      </c>
      <c r="V7" s="53">
        <f t="shared" si="0"/>
        <v>0.10169491525423729</v>
      </c>
      <c r="W7" s="51">
        <f t="shared" ref="W7:W14" si="7">Q7/(Q7+R7)</f>
        <v>0.55789473684210522</v>
      </c>
      <c r="X7" s="54">
        <f t="shared" si="6"/>
        <v>0.89830508474576276</v>
      </c>
    </row>
    <row r="8" spans="3:24" s="30" customFormat="1" ht="37.799999999999997" customHeight="1" x14ac:dyDescent="0.3">
      <c r="C8" s="88"/>
      <c r="D8" s="89"/>
      <c r="E8" s="48">
        <v>0.6</v>
      </c>
      <c r="F8" s="49" t="s">
        <v>14</v>
      </c>
      <c r="G8" s="49">
        <v>27</v>
      </c>
      <c r="H8" s="49">
        <v>27</v>
      </c>
      <c r="I8" s="49">
        <v>0</v>
      </c>
      <c r="J8" s="49">
        <v>40</v>
      </c>
      <c r="K8" s="49">
        <v>4</v>
      </c>
      <c r="L8" s="51">
        <f t="shared" si="1"/>
        <v>0</v>
      </c>
      <c r="M8" s="51">
        <f t="shared" si="2"/>
        <v>0.12903225806451613</v>
      </c>
      <c r="N8" s="51">
        <f t="shared" si="3"/>
        <v>1</v>
      </c>
      <c r="O8" s="51">
        <f t="shared" si="4"/>
        <v>0.87096774193548387</v>
      </c>
      <c r="P8" s="52">
        <v>48</v>
      </c>
      <c r="Q8" s="49">
        <v>47</v>
      </c>
      <c r="R8" s="49">
        <v>1</v>
      </c>
      <c r="S8" s="49">
        <v>116</v>
      </c>
      <c r="T8" s="49">
        <v>12</v>
      </c>
      <c r="U8" s="51">
        <f t="shared" si="5"/>
        <v>8.5470085470085479E-3</v>
      </c>
      <c r="V8" s="53">
        <f t="shared" si="0"/>
        <v>0.20338983050847459</v>
      </c>
      <c r="W8" s="51">
        <f t="shared" si="7"/>
        <v>0.97916666666666663</v>
      </c>
      <c r="X8" s="54">
        <f t="shared" si="6"/>
        <v>0.79661016949152541</v>
      </c>
    </row>
    <row r="9" spans="3:24" s="30" customFormat="1" ht="37.799999999999997" customHeight="1" x14ac:dyDescent="0.3">
      <c r="D9" s="89"/>
      <c r="E9" s="55">
        <v>0.7</v>
      </c>
      <c r="F9" s="56" t="s">
        <v>20</v>
      </c>
      <c r="G9" s="56">
        <v>30</v>
      </c>
      <c r="H9" s="56">
        <v>29</v>
      </c>
      <c r="I9" s="56">
        <v>1</v>
      </c>
      <c r="J9" s="56">
        <v>218</v>
      </c>
      <c r="K9" s="56">
        <v>2</v>
      </c>
      <c r="L9" s="57">
        <f t="shared" si="1"/>
        <v>4.5662100456621002E-3</v>
      </c>
      <c r="M9" s="58">
        <f t="shared" si="2"/>
        <v>6.4516129032258063E-2</v>
      </c>
      <c r="N9" s="58">
        <f t="shared" si="3"/>
        <v>0.96666666666666667</v>
      </c>
      <c r="O9" s="58">
        <f t="shared" si="4"/>
        <v>0.93548387096774188</v>
      </c>
      <c r="P9" s="59">
        <v>69</v>
      </c>
      <c r="Q9" s="56">
        <v>46</v>
      </c>
      <c r="R9" s="56">
        <v>23</v>
      </c>
      <c r="S9" s="56">
        <v>928</v>
      </c>
      <c r="T9" s="56">
        <v>13</v>
      </c>
      <c r="U9" s="58">
        <f t="shared" si="5"/>
        <v>2.4185068349106203E-2</v>
      </c>
      <c r="V9" s="60">
        <f t="shared" si="0"/>
        <v>0.22033898305084745</v>
      </c>
      <c r="W9" s="58">
        <f t="shared" si="7"/>
        <v>0.66666666666666663</v>
      </c>
      <c r="X9" s="61">
        <f t="shared" si="6"/>
        <v>0.77966101694915257</v>
      </c>
    </row>
    <row r="10" spans="3:24" s="30" customFormat="1" ht="37.799999999999997" customHeight="1" x14ac:dyDescent="0.3">
      <c r="E10" s="55">
        <v>0.7</v>
      </c>
      <c r="F10" s="56" t="s">
        <v>14</v>
      </c>
      <c r="G10" s="56">
        <v>26</v>
      </c>
      <c r="H10" s="56">
        <v>26</v>
      </c>
      <c r="I10" s="56">
        <v>0</v>
      </c>
      <c r="J10" s="56">
        <v>40</v>
      </c>
      <c r="K10" s="56">
        <v>5</v>
      </c>
      <c r="L10" s="58">
        <f t="shared" si="1"/>
        <v>0</v>
      </c>
      <c r="M10" s="58">
        <f t="shared" si="2"/>
        <v>0.16129032258064516</v>
      </c>
      <c r="N10" s="58">
        <f t="shared" si="3"/>
        <v>1</v>
      </c>
      <c r="O10" s="58">
        <f t="shared" si="4"/>
        <v>0.83870967741935487</v>
      </c>
      <c r="P10" s="59">
        <v>40</v>
      </c>
      <c r="Q10" s="56">
        <v>40</v>
      </c>
      <c r="R10" s="56">
        <v>0</v>
      </c>
      <c r="S10" s="56">
        <v>116</v>
      </c>
      <c r="T10" s="56">
        <v>19</v>
      </c>
      <c r="U10" s="58">
        <f t="shared" si="5"/>
        <v>0</v>
      </c>
      <c r="V10" s="60">
        <f t="shared" si="0"/>
        <v>0.32203389830508472</v>
      </c>
      <c r="W10" s="58">
        <f t="shared" si="7"/>
        <v>1</v>
      </c>
      <c r="X10" s="61">
        <f t="shared" si="6"/>
        <v>0.67796610169491522</v>
      </c>
    </row>
    <row r="11" spans="3:24" s="30" customFormat="1" ht="37.799999999999997" customHeight="1" x14ac:dyDescent="0.3">
      <c r="E11" s="62">
        <v>0.8</v>
      </c>
      <c r="F11" s="63" t="s">
        <v>20</v>
      </c>
      <c r="G11" s="63">
        <v>23</v>
      </c>
      <c r="H11" s="63">
        <v>23</v>
      </c>
      <c r="I11" s="63">
        <v>0</v>
      </c>
      <c r="J11" s="63">
        <v>218</v>
      </c>
      <c r="K11" s="63">
        <v>8</v>
      </c>
      <c r="L11" s="64">
        <f t="shared" si="1"/>
        <v>0</v>
      </c>
      <c r="M11" s="64">
        <f t="shared" si="2"/>
        <v>0.25806451612903225</v>
      </c>
      <c r="N11" s="64">
        <f t="shared" si="3"/>
        <v>1</v>
      </c>
      <c r="O11" s="64">
        <f t="shared" si="4"/>
        <v>0.74193548387096775</v>
      </c>
      <c r="P11" s="65">
        <v>39</v>
      </c>
      <c r="Q11" s="63">
        <v>35</v>
      </c>
      <c r="R11" s="63">
        <v>4</v>
      </c>
      <c r="S11" s="63">
        <v>928</v>
      </c>
      <c r="T11" s="63">
        <v>24</v>
      </c>
      <c r="U11" s="64">
        <f t="shared" si="5"/>
        <v>4.2918454935622317E-3</v>
      </c>
      <c r="V11" s="66">
        <f t="shared" si="0"/>
        <v>0.40677966101694918</v>
      </c>
      <c r="W11" s="64">
        <f t="shared" si="7"/>
        <v>0.89743589743589747</v>
      </c>
      <c r="X11" s="67">
        <f t="shared" si="6"/>
        <v>0.59322033898305082</v>
      </c>
    </row>
    <row r="12" spans="3:24" s="30" customFormat="1" ht="37.799999999999997" customHeight="1" x14ac:dyDescent="0.3">
      <c r="E12" s="62">
        <v>0.8</v>
      </c>
      <c r="F12" s="63" t="s">
        <v>14</v>
      </c>
      <c r="G12" s="63">
        <v>22</v>
      </c>
      <c r="H12" s="63">
        <v>22</v>
      </c>
      <c r="I12" s="63">
        <v>0</v>
      </c>
      <c r="J12" s="63">
        <v>40</v>
      </c>
      <c r="K12" s="63">
        <v>9</v>
      </c>
      <c r="L12" s="64">
        <f t="shared" si="1"/>
        <v>0</v>
      </c>
      <c r="M12" s="64">
        <f t="shared" si="2"/>
        <v>0.29032258064516131</v>
      </c>
      <c r="N12" s="64">
        <f t="shared" si="3"/>
        <v>1</v>
      </c>
      <c r="O12" s="64">
        <f t="shared" si="4"/>
        <v>0.70967741935483875</v>
      </c>
      <c r="P12" s="65">
        <v>31</v>
      </c>
      <c r="Q12" s="63">
        <v>31</v>
      </c>
      <c r="R12" s="63">
        <v>0</v>
      </c>
      <c r="S12" s="63">
        <v>116</v>
      </c>
      <c r="T12" s="63">
        <v>28</v>
      </c>
      <c r="U12" s="64">
        <f t="shared" si="5"/>
        <v>0</v>
      </c>
      <c r="V12" s="66">
        <f t="shared" si="0"/>
        <v>0.47457627118644069</v>
      </c>
      <c r="W12" s="64">
        <f t="shared" si="7"/>
        <v>1</v>
      </c>
      <c r="X12" s="67">
        <f t="shared" si="6"/>
        <v>0.52542372881355937</v>
      </c>
    </row>
    <row r="13" spans="3:24" s="30" customFormat="1" ht="37.799999999999997" customHeight="1" x14ac:dyDescent="0.3">
      <c r="E13" s="68">
        <v>0.9</v>
      </c>
      <c r="F13" s="69" t="s">
        <v>20</v>
      </c>
      <c r="G13" s="69">
        <v>10</v>
      </c>
      <c r="H13" s="69">
        <v>10</v>
      </c>
      <c r="I13" s="69">
        <v>0</v>
      </c>
      <c r="J13" s="69">
        <v>218</v>
      </c>
      <c r="K13" s="69">
        <v>21</v>
      </c>
      <c r="L13" s="70">
        <f t="shared" si="1"/>
        <v>0</v>
      </c>
      <c r="M13" s="70">
        <f t="shared" si="2"/>
        <v>0.67741935483870963</v>
      </c>
      <c r="N13" s="70">
        <f t="shared" si="3"/>
        <v>1</v>
      </c>
      <c r="O13" s="70">
        <f t="shared" si="4"/>
        <v>0.32258064516129031</v>
      </c>
      <c r="P13" s="71">
        <v>12</v>
      </c>
      <c r="Q13" s="69">
        <v>12</v>
      </c>
      <c r="R13" s="69">
        <v>0</v>
      </c>
      <c r="S13" s="69">
        <v>928</v>
      </c>
      <c r="T13" s="69">
        <v>47</v>
      </c>
      <c r="U13" s="70">
        <f t="shared" si="5"/>
        <v>0</v>
      </c>
      <c r="V13" s="72">
        <f t="shared" si="0"/>
        <v>0.79661016949152541</v>
      </c>
      <c r="W13" s="70">
        <f t="shared" si="7"/>
        <v>1</v>
      </c>
      <c r="X13" s="73">
        <f>Q13/(Q13+T13)</f>
        <v>0.20338983050847459</v>
      </c>
    </row>
    <row r="14" spans="3:24" s="30" customFormat="1" ht="37.799999999999997" customHeight="1" x14ac:dyDescent="0.3">
      <c r="E14" s="74">
        <v>0.9</v>
      </c>
      <c r="F14" s="75" t="s">
        <v>14</v>
      </c>
      <c r="G14" s="75">
        <v>10</v>
      </c>
      <c r="H14" s="75">
        <v>10</v>
      </c>
      <c r="I14" s="75">
        <v>0</v>
      </c>
      <c r="J14" s="75">
        <v>40</v>
      </c>
      <c r="K14" s="75">
        <v>21</v>
      </c>
      <c r="L14" s="76">
        <f t="shared" si="1"/>
        <v>0</v>
      </c>
      <c r="M14" s="76">
        <f t="shared" si="2"/>
        <v>0.67741935483870963</v>
      </c>
      <c r="N14" s="76">
        <f t="shared" si="3"/>
        <v>1</v>
      </c>
      <c r="O14" s="76">
        <f t="shared" si="4"/>
        <v>0.32258064516129031</v>
      </c>
      <c r="P14" s="77">
        <v>11</v>
      </c>
      <c r="Q14" s="75">
        <v>11</v>
      </c>
      <c r="R14" s="75">
        <v>0</v>
      </c>
      <c r="S14" s="75">
        <v>116</v>
      </c>
      <c r="T14" s="75">
        <v>48</v>
      </c>
      <c r="U14" s="76">
        <f t="shared" si="5"/>
        <v>0</v>
      </c>
      <c r="V14" s="76">
        <f t="shared" si="0"/>
        <v>0.81355932203389836</v>
      </c>
      <c r="W14" s="76">
        <f t="shared" si="7"/>
        <v>1</v>
      </c>
      <c r="X14" s="78">
        <f>Q14/(Q14+T14)</f>
        <v>0.1864406779661017</v>
      </c>
    </row>
    <row r="15" spans="3:24" ht="23.4" x14ac:dyDescent="0.45">
      <c r="E15" s="31"/>
      <c r="F15" s="32"/>
      <c r="G15" s="33"/>
      <c r="H15" s="33"/>
      <c r="I15" s="33"/>
      <c r="J15" s="33"/>
      <c r="K15" s="33"/>
      <c r="L15" s="33"/>
      <c r="M15" s="33"/>
      <c r="N15" s="33"/>
      <c r="O15" s="31"/>
      <c r="P15" s="34"/>
      <c r="Q15" s="34"/>
      <c r="R15" s="34"/>
      <c r="S15" s="34"/>
      <c r="T15" s="34"/>
      <c r="U15" s="34"/>
      <c r="V15" s="34"/>
      <c r="W15" s="34"/>
      <c r="X15" s="34"/>
    </row>
    <row r="16" spans="3:24" x14ac:dyDescent="0.3">
      <c r="E16" s="2"/>
      <c r="F16" s="29"/>
      <c r="G16" s="2"/>
      <c r="H16" s="2"/>
      <c r="I16" s="18"/>
      <c r="J16" s="18"/>
      <c r="K16" s="18"/>
      <c r="L16" s="18"/>
      <c r="M16" s="18"/>
      <c r="N16" s="18"/>
      <c r="O16" s="2"/>
    </row>
    <row r="17" spans="3:25" x14ac:dyDescent="0.3">
      <c r="E17" s="2"/>
      <c r="F17" s="29"/>
      <c r="G17" s="2"/>
      <c r="H17" t="s">
        <v>15</v>
      </c>
      <c r="I17" s="18"/>
      <c r="J17" s="18"/>
      <c r="K17" s="18"/>
      <c r="L17" s="18"/>
      <c r="M17" s="18"/>
      <c r="N17" s="18"/>
      <c r="O17" s="2"/>
      <c r="R17" t="s">
        <v>16</v>
      </c>
    </row>
    <row r="18" spans="3:25" x14ac:dyDescent="0.3">
      <c r="H18">
        <f>SUM(G22:K22)</f>
        <v>297</v>
      </c>
      <c r="R18">
        <f>SUM(Q22:T22)</f>
        <v>1067</v>
      </c>
    </row>
    <row r="20" spans="3:25" ht="25.8" x14ac:dyDescent="0.5">
      <c r="E20" s="90" t="s">
        <v>0</v>
      </c>
      <c r="F20" s="92" t="s">
        <v>1</v>
      </c>
      <c r="G20" s="93"/>
      <c r="H20" s="93"/>
      <c r="I20" s="93"/>
      <c r="J20" s="93"/>
      <c r="K20" s="93"/>
      <c r="L20" s="93"/>
      <c r="M20" s="93"/>
      <c r="N20" s="93"/>
      <c r="O20" s="94"/>
      <c r="P20" s="95" t="s">
        <v>2</v>
      </c>
      <c r="Q20" s="96"/>
      <c r="R20" s="96"/>
      <c r="S20" s="96"/>
      <c r="T20" s="96"/>
      <c r="U20" s="96"/>
      <c r="V20" s="96"/>
      <c r="W20" s="96"/>
      <c r="X20" s="97"/>
    </row>
    <row r="21" spans="3:25" ht="15.6" x14ac:dyDescent="0.3">
      <c r="C21" t="s">
        <v>17</v>
      </c>
      <c r="D21" t="s">
        <v>18</v>
      </c>
      <c r="E21" s="91"/>
      <c r="F21" s="4" t="s">
        <v>3</v>
      </c>
      <c r="G21" s="4" t="s">
        <v>19</v>
      </c>
      <c r="H21" s="4" t="s">
        <v>5</v>
      </c>
      <c r="I21" s="4" t="s">
        <v>6</v>
      </c>
      <c r="J21" s="4" t="s">
        <v>7</v>
      </c>
      <c r="K21" s="4" t="s">
        <v>8</v>
      </c>
      <c r="L21" s="5" t="s">
        <v>9</v>
      </c>
      <c r="M21" s="5" t="s">
        <v>10</v>
      </c>
      <c r="N21" s="6" t="s">
        <v>11</v>
      </c>
      <c r="O21" s="7" t="s">
        <v>12</v>
      </c>
      <c r="P21" s="4" t="s">
        <v>19</v>
      </c>
      <c r="Q21" s="4" t="s">
        <v>5</v>
      </c>
      <c r="R21" s="4" t="s">
        <v>6</v>
      </c>
      <c r="S21" s="4" t="s">
        <v>7</v>
      </c>
      <c r="T21" s="4" t="s">
        <v>8</v>
      </c>
      <c r="U21" s="5" t="s">
        <v>9</v>
      </c>
      <c r="V21" s="5" t="s">
        <v>10</v>
      </c>
      <c r="W21" s="5" t="s">
        <v>11</v>
      </c>
      <c r="X21" s="7" t="s">
        <v>12</v>
      </c>
    </row>
    <row r="22" spans="3:25" x14ac:dyDescent="0.3">
      <c r="C22">
        <f>H22+I22</f>
        <v>39</v>
      </c>
      <c r="D22">
        <f>Q22+R22</f>
        <v>133</v>
      </c>
      <c r="E22" s="8">
        <v>0.5</v>
      </c>
      <c r="F22" s="9" t="s">
        <v>13</v>
      </c>
      <c r="G22" s="9">
        <v>39</v>
      </c>
      <c r="H22" s="9">
        <v>30</v>
      </c>
      <c r="I22" s="9">
        <v>9</v>
      </c>
      <c r="J22" s="9">
        <v>218</v>
      </c>
      <c r="K22" s="9">
        <v>1</v>
      </c>
      <c r="L22" s="10">
        <f>I22/(I22+J22)</f>
        <v>3.9647577092511016E-2</v>
      </c>
      <c r="M22" s="10">
        <f>K22/(K22+H22)</f>
        <v>3.2258064516129031E-2</v>
      </c>
      <c r="N22" s="10">
        <f>H22/(H22+I22)</f>
        <v>0.76923076923076927</v>
      </c>
      <c r="O22" s="10">
        <f>H22/(H22+K22)</f>
        <v>0.967741935483871</v>
      </c>
      <c r="P22" s="11">
        <v>133</v>
      </c>
      <c r="Q22" s="9">
        <v>58</v>
      </c>
      <c r="R22" s="9">
        <v>75</v>
      </c>
      <c r="S22" s="9">
        <v>933</v>
      </c>
      <c r="T22" s="9">
        <v>1</v>
      </c>
      <c r="U22" s="10">
        <f>R22/(R22+S22)</f>
        <v>7.4404761904761904E-2</v>
      </c>
      <c r="V22" s="12">
        <f>T22/(T22+Q22)</f>
        <v>1.6949152542372881E-2</v>
      </c>
      <c r="W22" s="10">
        <f>Q22/(Q22+R22)</f>
        <v>0.43609022556390975</v>
      </c>
      <c r="X22" s="13">
        <f>Q22/(Q22+T22)</f>
        <v>0.98305084745762716</v>
      </c>
      <c r="Y22">
        <f>SUM(Q22:T22)</f>
        <v>1067</v>
      </c>
    </row>
    <row r="23" spans="3:25" x14ac:dyDescent="0.3">
      <c r="C23">
        <f t="shared" ref="C23:C31" si="8">H23+I23</f>
        <v>33</v>
      </c>
      <c r="D23">
        <f t="shared" ref="D23:D31" si="9">Q23+R23</f>
        <v>95</v>
      </c>
      <c r="E23" s="8">
        <v>0.6</v>
      </c>
      <c r="F23" s="9" t="s">
        <v>13</v>
      </c>
      <c r="G23" s="9">
        <v>32</v>
      </c>
      <c r="H23" s="9">
        <v>30</v>
      </c>
      <c r="I23" s="9">
        <v>3</v>
      </c>
      <c r="J23" s="9">
        <v>218</v>
      </c>
      <c r="K23" s="9">
        <v>1</v>
      </c>
      <c r="L23" s="20">
        <f t="shared" ref="L23:L31" si="10">I23/(I23+J23)</f>
        <v>1.3574660633484163E-2</v>
      </c>
      <c r="M23" s="10">
        <f t="shared" ref="M23:M31" si="11">K23/(K23+H23)</f>
        <v>3.2258064516129031E-2</v>
      </c>
      <c r="N23" s="10">
        <f t="shared" ref="N23:N31" si="12">H23/(H23+I23)</f>
        <v>0.90909090909090906</v>
      </c>
      <c r="O23" s="10">
        <f t="shared" ref="O23:O31" si="13">H23/(H23+K23)</f>
        <v>0.967741935483871</v>
      </c>
      <c r="P23" s="21">
        <v>95</v>
      </c>
      <c r="Q23" s="9">
        <v>53</v>
      </c>
      <c r="R23" s="9">
        <v>42</v>
      </c>
      <c r="S23" s="9">
        <v>933</v>
      </c>
      <c r="T23" s="9">
        <v>6</v>
      </c>
      <c r="U23" s="10">
        <f t="shared" ref="U23:U31" si="14">R23/(R23+S23)</f>
        <v>4.3076923076923075E-2</v>
      </c>
      <c r="V23" s="22">
        <f>T23/(T23+Q23)</f>
        <v>0.10169491525423729</v>
      </c>
      <c r="W23" s="10">
        <f t="shared" ref="W23:W31" si="15">Q23/(Q23+R23)</f>
        <v>0.55789473684210522</v>
      </c>
      <c r="X23" s="23">
        <f t="shared" ref="X23:X31" si="16">Q23/(Q23+T23)</f>
        <v>0.89830508474576276</v>
      </c>
      <c r="Y23">
        <f>SUM(Q23:T23)</f>
        <v>1034</v>
      </c>
    </row>
    <row r="24" spans="3:25" x14ac:dyDescent="0.3">
      <c r="C24">
        <f t="shared" si="8"/>
        <v>30</v>
      </c>
      <c r="D24">
        <f t="shared" si="9"/>
        <v>69</v>
      </c>
      <c r="E24" s="8">
        <v>0.7</v>
      </c>
      <c r="F24" s="9" t="s">
        <v>13</v>
      </c>
      <c r="G24" s="9">
        <v>31</v>
      </c>
      <c r="H24" s="9">
        <v>29</v>
      </c>
      <c r="I24" s="9">
        <v>1</v>
      </c>
      <c r="J24" s="9">
        <v>218</v>
      </c>
      <c r="K24" s="9">
        <v>2</v>
      </c>
      <c r="L24" s="20">
        <f t="shared" si="10"/>
        <v>4.5662100456621002E-3</v>
      </c>
      <c r="M24" s="10">
        <f t="shared" si="11"/>
        <v>6.4516129032258063E-2</v>
      </c>
      <c r="N24" s="10">
        <f t="shared" si="12"/>
        <v>0.96666666666666667</v>
      </c>
      <c r="O24" s="10">
        <f t="shared" si="13"/>
        <v>0.93548387096774188</v>
      </c>
      <c r="P24" s="21">
        <v>69</v>
      </c>
      <c r="Q24" s="9">
        <v>46</v>
      </c>
      <c r="R24" s="9">
        <v>23</v>
      </c>
      <c r="S24" s="9">
        <v>933</v>
      </c>
      <c r="T24" s="9">
        <v>13</v>
      </c>
      <c r="U24" s="10">
        <f t="shared" si="14"/>
        <v>2.4058577405857741E-2</v>
      </c>
      <c r="V24" s="22">
        <f t="shared" ref="V24:V31" si="17">T24/(T24+Q24)</f>
        <v>0.22033898305084745</v>
      </c>
      <c r="W24" s="10">
        <f t="shared" si="15"/>
        <v>0.66666666666666663</v>
      </c>
      <c r="X24" s="23">
        <f t="shared" si="16"/>
        <v>0.77966101694915257</v>
      </c>
    </row>
    <row r="25" spans="3:25" x14ac:dyDescent="0.3">
      <c r="C25">
        <f t="shared" si="8"/>
        <v>23</v>
      </c>
      <c r="D25">
        <f t="shared" si="9"/>
        <v>39</v>
      </c>
      <c r="E25" s="8">
        <v>0.8</v>
      </c>
      <c r="F25" s="9" t="s">
        <v>13</v>
      </c>
      <c r="G25" s="9">
        <v>23</v>
      </c>
      <c r="H25" s="9">
        <v>23</v>
      </c>
      <c r="I25" s="9">
        <v>0</v>
      </c>
      <c r="J25" s="9">
        <v>218</v>
      </c>
      <c r="K25" s="9">
        <v>8</v>
      </c>
      <c r="L25" s="10">
        <f t="shared" si="10"/>
        <v>0</v>
      </c>
      <c r="M25" s="10">
        <f t="shared" si="11"/>
        <v>0.25806451612903225</v>
      </c>
      <c r="N25" s="10">
        <f t="shared" si="12"/>
        <v>1</v>
      </c>
      <c r="O25" s="10">
        <f t="shared" si="13"/>
        <v>0.74193548387096775</v>
      </c>
      <c r="P25" s="21">
        <v>39</v>
      </c>
      <c r="Q25" s="9">
        <v>35</v>
      </c>
      <c r="R25" s="9">
        <v>4</v>
      </c>
      <c r="S25" s="9">
        <v>933</v>
      </c>
      <c r="T25" s="9">
        <v>24</v>
      </c>
      <c r="U25" s="10">
        <f t="shared" si="14"/>
        <v>4.2689434364994666E-3</v>
      </c>
      <c r="V25" s="22">
        <f t="shared" si="17"/>
        <v>0.40677966101694918</v>
      </c>
      <c r="W25" s="10">
        <f t="shared" si="15"/>
        <v>0.89743589743589747</v>
      </c>
      <c r="X25" s="23">
        <f t="shared" si="16"/>
        <v>0.59322033898305082</v>
      </c>
    </row>
    <row r="26" spans="3:25" x14ac:dyDescent="0.3">
      <c r="C26">
        <f t="shared" si="8"/>
        <v>10</v>
      </c>
      <c r="D26">
        <f t="shared" si="9"/>
        <v>12</v>
      </c>
      <c r="E26" s="8">
        <v>0.9</v>
      </c>
      <c r="F26" s="9" t="s">
        <v>13</v>
      </c>
      <c r="G26" s="9">
        <v>10</v>
      </c>
      <c r="H26" s="9">
        <v>10</v>
      </c>
      <c r="I26" s="9">
        <v>0</v>
      </c>
      <c r="J26" s="9">
        <v>218</v>
      </c>
      <c r="K26" s="9">
        <v>21</v>
      </c>
      <c r="L26" s="10">
        <f t="shared" si="10"/>
        <v>0</v>
      </c>
      <c r="M26" s="10">
        <f t="shared" si="11"/>
        <v>0.67741935483870963</v>
      </c>
      <c r="N26" s="10">
        <f t="shared" si="12"/>
        <v>1</v>
      </c>
      <c r="O26" s="10">
        <f t="shared" si="13"/>
        <v>0.32258064516129031</v>
      </c>
      <c r="P26" s="21">
        <v>12</v>
      </c>
      <c r="Q26" s="9">
        <v>12</v>
      </c>
      <c r="R26" s="9">
        <v>0</v>
      </c>
      <c r="S26" s="9">
        <v>933</v>
      </c>
      <c r="T26" s="9">
        <v>47</v>
      </c>
      <c r="U26" s="10">
        <f t="shared" si="14"/>
        <v>0</v>
      </c>
      <c r="V26" s="22">
        <f t="shared" si="17"/>
        <v>0.79661016949152541</v>
      </c>
      <c r="W26" s="10">
        <f t="shared" si="15"/>
        <v>1</v>
      </c>
      <c r="X26" s="23">
        <f>Q26/(Q26+T26)</f>
        <v>0.20338983050847459</v>
      </c>
    </row>
    <row r="27" spans="3:25" x14ac:dyDescent="0.3">
      <c r="C27">
        <f t="shared" si="8"/>
        <v>26</v>
      </c>
      <c r="D27">
        <f t="shared" si="9"/>
        <v>54</v>
      </c>
      <c r="E27" s="14">
        <v>0.5</v>
      </c>
      <c r="F27" s="15" t="s">
        <v>14</v>
      </c>
      <c r="G27" s="15">
        <v>26</v>
      </c>
      <c r="H27" s="15">
        <v>26</v>
      </c>
      <c r="I27" s="15">
        <v>0</v>
      </c>
      <c r="J27" s="15">
        <v>37</v>
      </c>
      <c r="K27" s="15">
        <v>1</v>
      </c>
      <c r="L27" s="16">
        <f t="shared" si="10"/>
        <v>0</v>
      </c>
      <c r="M27" s="16">
        <f>K27/(K27+H27)</f>
        <v>3.7037037037037035E-2</v>
      </c>
      <c r="N27" s="16">
        <f t="shared" si="12"/>
        <v>1</v>
      </c>
      <c r="O27" s="16">
        <f t="shared" si="13"/>
        <v>0.96296296296296291</v>
      </c>
      <c r="P27" s="17">
        <v>54</v>
      </c>
      <c r="Q27" s="15">
        <v>54</v>
      </c>
      <c r="R27" s="15">
        <v>0</v>
      </c>
      <c r="S27" s="15">
        <v>111</v>
      </c>
      <c r="T27" s="15">
        <v>1</v>
      </c>
      <c r="U27" s="16">
        <f t="shared" si="14"/>
        <v>0</v>
      </c>
      <c r="V27" s="18">
        <f t="shared" si="17"/>
        <v>1.8181818181818181E-2</v>
      </c>
      <c r="W27" s="16">
        <f t="shared" si="15"/>
        <v>1</v>
      </c>
      <c r="X27" s="19">
        <f t="shared" si="16"/>
        <v>0.98181818181818181</v>
      </c>
    </row>
    <row r="28" spans="3:25" x14ac:dyDescent="0.3">
      <c r="C28">
        <f t="shared" si="8"/>
        <v>26</v>
      </c>
      <c r="D28">
        <f t="shared" si="9"/>
        <v>49</v>
      </c>
      <c r="E28" s="14">
        <v>0.6</v>
      </c>
      <c r="F28" s="15" t="s">
        <v>14</v>
      </c>
      <c r="G28" s="15">
        <v>26</v>
      </c>
      <c r="H28" s="15">
        <v>26</v>
      </c>
      <c r="I28" s="15">
        <v>0</v>
      </c>
      <c r="J28" s="15">
        <v>37</v>
      </c>
      <c r="K28" s="15">
        <v>1</v>
      </c>
      <c r="L28" s="16">
        <f t="shared" si="10"/>
        <v>0</v>
      </c>
      <c r="M28" s="16">
        <f t="shared" si="11"/>
        <v>3.7037037037037035E-2</v>
      </c>
      <c r="N28" s="16">
        <f t="shared" si="12"/>
        <v>1</v>
      </c>
      <c r="O28" s="16">
        <f t="shared" si="13"/>
        <v>0.96296296296296291</v>
      </c>
      <c r="P28" s="17">
        <v>49</v>
      </c>
      <c r="Q28" s="15">
        <v>49</v>
      </c>
      <c r="R28" s="15">
        <v>0</v>
      </c>
      <c r="S28" s="15">
        <v>111</v>
      </c>
      <c r="T28" s="15">
        <v>6</v>
      </c>
      <c r="U28" s="16">
        <f t="shared" si="14"/>
        <v>0</v>
      </c>
      <c r="V28" s="18">
        <f t="shared" si="17"/>
        <v>0.10909090909090909</v>
      </c>
      <c r="W28" s="16">
        <f t="shared" si="15"/>
        <v>1</v>
      </c>
      <c r="X28" s="19">
        <f t="shared" si="16"/>
        <v>0.89090909090909087</v>
      </c>
    </row>
    <row r="29" spans="3:25" x14ac:dyDescent="0.3">
      <c r="C29">
        <f t="shared" si="8"/>
        <v>25</v>
      </c>
      <c r="D29">
        <f t="shared" si="9"/>
        <v>42</v>
      </c>
      <c r="E29" s="14">
        <v>0.7</v>
      </c>
      <c r="F29" s="15" t="s">
        <v>14</v>
      </c>
      <c r="G29" s="15">
        <v>25</v>
      </c>
      <c r="H29" s="15">
        <v>25</v>
      </c>
      <c r="I29" s="15">
        <v>0</v>
      </c>
      <c r="J29" s="15">
        <v>37</v>
      </c>
      <c r="K29" s="15">
        <v>2</v>
      </c>
      <c r="L29" s="16">
        <f t="shared" si="10"/>
        <v>0</v>
      </c>
      <c r="M29" s="16">
        <f t="shared" si="11"/>
        <v>7.407407407407407E-2</v>
      </c>
      <c r="N29" s="16">
        <f t="shared" si="12"/>
        <v>1</v>
      </c>
      <c r="O29" s="16">
        <f t="shared" si="13"/>
        <v>0.92592592592592593</v>
      </c>
      <c r="P29" s="17">
        <v>42</v>
      </c>
      <c r="Q29" s="15">
        <v>42</v>
      </c>
      <c r="R29" s="15">
        <v>0</v>
      </c>
      <c r="S29" s="15">
        <v>111</v>
      </c>
      <c r="T29" s="15">
        <v>13</v>
      </c>
      <c r="U29" s="16">
        <f t="shared" si="14"/>
        <v>0</v>
      </c>
      <c r="V29" s="18">
        <f t="shared" si="17"/>
        <v>0.23636363636363636</v>
      </c>
      <c r="W29" s="16">
        <f t="shared" si="15"/>
        <v>1</v>
      </c>
      <c r="X29" s="19">
        <f t="shared" si="16"/>
        <v>0.76363636363636367</v>
      </c>
    </row>
    <row r="30" spans="3:25" x14ac:dyDescent="0.3">
      <c r="C30">
        <f t="shared" si="8"/>
        <v>21</v>
      </c>
      <c r="D30">
        <f t="shared" si="9"/>
        <v>33</v>
      </c>
      <c r="E30" s="14">
        <v>0.8</v>
      </c>
      <c r="F30" s="15" t="s">
        <v>14</v>
      </c>
      <c r="G30" s="15">
        <v>21</v>
      </c>
      <c r="H30" s="15">
        <v>21</v>
      </c>
      <c r="I30" s="15">
        <v>0</v>
      </c>
      <c r="J30" s="15">
        <v>37</v>
      </c>
      <c r="K30" s="15">
        <v>6</v>
      </c>
      <c r="L30" s="16">
        <f t="shared" si="10"/>
        <v>0</v>
      </c>
      <c r="M30" s="16">
        <f t="shared" si="11"/>
        <v>0.22222222222222221</v>
      </c>
      <c r="N30" s="16">
        <f t="shared" si="12"/>
        <v>1</v>
      </c>
      <c r="O30" s="16">
        <f t="shared" si="13"/>
        <v>0.77777777777777779</v>
      </c>
      <c r="P30" s="17">
        <v>33</v>
      </c>
      <c r="Q30" s="15">
        <v>33</v>
      </c>
      <c r="R30" s="15">
        <v>0</v>
      </c>
      <c r="S30" s="15">
        <v>111</v>
      </c>
      <c r="T30" s="15">
        <v>22</v>
      </c>
      <c r="U30" s="16">
        <f t="shared" si="14"/>
        <v>0</v>
      </c>
      <c r="V30" s="18">
        <f t="shared" si="17"/>
        <v>0.4</v>
      </c>
      <c r="W30" s="16">
        <f t="shared" si="15"/>
        <v>1</v>
      </c>
      <c r="X30" s="19">
        <f t="shared" si="16"/>
        <v>0.6</v>
      </c>
    </row>
    <row r="31" spans="3:25" x14ac:dyDescent="0.3">
      <c r="C31">
        <f t="shared" si="8"/>
        <v>9</v>
      </c>
      <c r="D31">
        <f t="shared" si="9"/>
        <v>11</v>
      </c>
      <c r="E31" s="24">
        <v>0.9</v>
      </c>
      <c r="F31" s="25" t="s">
        <v>14</v>
      </c>
      <c r="G31" s="25">
        <v>9</v>
      </c>
      <c r="H31" s="25">
        <v>9</v>
      </c>
      <c r="I31" s="25">
        <v>0</v>
      </c>
      <c r="J31" s="25">
        <v>37</v>
      </c>
      <c r="K31" s="25">
        <v>18</v>
      </c>
      <c r="L31" s="26">
        <f t="shared" si="10"/>
        <v>0</v>
      </c>
      <c r="M31" s="26">
        <f t="shared" si="11"/>
        <v>0.66666666666666663</v>
      </c>
      <c r="N31" s="26">
        <f t="shared" si="12"/>
        <v>1</v>
      </c>
      <c r="O31" s="26">
        <f t="shared" si="13"/>
        <v>0.33333333333333331</v>
      </c>
      <c r="P31" s="27">
        <v>11</v>
      </c>
      <c r="Q31" s="25">
        <v>11</v>
      </c>
      <c r="R31" s="25">
        <v>0</v>
      </c>
      <c r="S31" s="25">
        <v>111</v>
      </c>
      <c r="T31" s="25">
        <v>44</v>
      </c>
      <c r="U31" s="26">
        <f t="shared" si="14"/>
        <v>0</v>
      </c>
      <c r="V31" s="26">
        <f t="shared" si="17"/>
        <v>0.8</v>
      </c>
      <c r="W31" s="26">
        <f t="shared" si="15"/>
        <v>1</v>
      </c>
      <c r="X31" s="28">
        <f t="shared" si="16"/>
        <v>0.2</v>
      </c>
    </row>
  </sheetData>
  <mergeCells count="10">
    <mergeCell ref="C4:C8"/>
    <mergeCell ref="D5:D9"/>
    <mergeCell ref="E20:E21"/>
    <mergeCell ref="F20:O20"/>
    <mergeCell ref="P20:X20"/>
    <mergeCell ref="F2:I2"/>
    <mergeCell ref="J2:M2"/>
    <mergeCell ref="E3:E4"/>
    <mergeCell ref="F3:O3"/>
    <mergeCell ref="P3:X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BF92-75E9-4441-9746-3225AE1B65EC}">
  <dimension ref="B4:U30"/>
  <sheetViews>
    <sheetView tabSelected="1" topLeftCell="F16" workbookViewId="0">
      <selection activeCell="R31" sqref="R31"/>
    </sheetView>
  </sheetViews>
  <sheetFormatPr defaultRowHeight="14.4" x14ac:dyDescent="0.3"/>
  <cols>
    <col min="2" max="2" width="22.21875" customWidth="1"/>
    <col min="3" max="3" width="20.33203125" customWidth="1"/>
    <col min="4" max="4" width="16.5546875" bestFit="1" customWidth="1"/>
    <col min="5" max="10" width="10.77734375" customWidth="1"/>
    <col min="11" max="12" width="15.77734375" customWidth="1"/>
    <col min="13" max="13" width="16.5546875" bestFit="1" customWidth="1"/>
    <col min="14" max="19" width="10.77734375" customWidth="1"/>
    <col min="20" max="21" width="15.77734375" customWidth="1"/>
  </cols>
  <sheetData>
    <row r="4" spans="2:21" ht="33.6" x14ac:dyDescent="0.3">
      <c r="B4" s="80" t="s">
        <v>0</v>
      </c>
      <c r="C4" s="82" t="s">
        <v>1</v>
      </c>
      <c r="D4" s="83"/>
      <c r="E4" s="83"/>
      <c r="F4" s="83"/>
      <c r="G4" s="83"/>
      <c r="H4" s="83"/>
      <c r="I4" s="83"/>
      <c r="J4" s="83"/>
      <c r="K4" s="83"/>
      <c r="L4" s="84"/>
      <c r="M4" s="98" t="s">
        <v>22</v>
      </c>
      <c r="N4" s="99"/>
      <c r="O4" s="99"/>
      <c r="P4" s="99"/>
      <c r="Q4" s="99"/>
      <c r="R4" s="99"/>
      <c r="S4" s="99"/>
      <c r="T4" s="99"/>
      <c r="U4" s="100"/>
    </row>
    <row r="5" spans="2:21" ht="25.8" x14ac:dyDescent="0.3">
      <c r="B5" s="81"/>
      <c r="C5" s="35" t="s">
        <v>3</v>
      </c>
      <c r="D5" s="35" t="s">
        <v>4</v>
      </c>
      <c r="E5" s="35" t="s">
        <v>5</v>
      </c>
      <c r="F5" s="35" t="s">
        <v>6</v>
      </c>
      <c r="G5" s="35" t="s">
        <v>7</v>
      </c>
      <c r="H5" s="35" t="s">
        <v>8</v>
      </c>
      <c r="I5" s="36" t="s">
        <v>9</v>
      </c>
      <c r="J5" s="36" t="s">
        <v>10</v>
      </c>
      <c r="K5" s="37" t="s">
        <v>11</v>
      </c>
      <c r="L5" s="38" t="s">
        <v>12</v>
      </c>
      <c r="M5" s="35" t="s">
        <v>4</v>
      </c>
      <c r="N5" s="35" t="s">
        <v>5</v>
      </c>
      <c r="O5" s="35" t="s">
        <v>6</v>
      </c>
      <c r="P5" s="35" t="s">
        <v>7</v>
      </c>
      <c r="Q5" s="35" t="s">
        <v>8</v>
      </c>
      <c r="R5" s="36" t="s">
        <v>9</v>
      </c>
      <c r="S5" s="36" t="s">
        <v>10</v>
      </c>
      <c r="T5" s="36" t="s">
        <v>11</v>
      </c>
      <c r="U5" s="38" t="s">
        <v>12</v>
      </c>
    </row>
    <row r="6" spans="2:21" ht="25.8" x14ac:dyDescent="0.3">
      <c r="B6" s="39">
        <v>0.5</v>
      </c>
      <c r="C6" s="40" t="s">
        <v>20</v>
      </c>
      <c r="D6" s="40">
        <v>39</v>
      </c>
      <c r="E6" s="40">
        <v>30</v>
      </c>
      <c r="F6" s="40">
        <v>9</v>
      </c>
      <c r="G6" s="40">
        <v>218</v>
      </c>
      <c r="H6" s="40">
        <v>1</v>
      </c>
      <c r="I6" s="41">
        <f>F6/(F6+G6)</f>
        <v>3.9647577092511016E-2</v>
      </c>
      <c r="J6" s="41">
        <f>H6/(H6+E6)</f>
        <v>3.2258064516129031E-2</v>
      </c>
      <c r="K6" s="41">
        <f>E6/(E6+F6)</f>
        <v>0.76923076923076927</v>
      </c>
      <c r="L6" s="41">
        <f>E6/(E6+H6)</f>
        <v>0.967741935483871</v>
      </c>
      <c r="M6" s="42">
        <v>133</v>
      </c>
      <c r="N6" s="40">
        <v>58</v>
      </c>
      <c r="O6" s="40">
        <v>75</v>
      </c>
      <c r="P6" s="40">
        <v>928</v>
      </c>
      <c r="Q6" s="40">
        <v>1</v>
      </c>
      <c r="R6" s="41">
        <f>O6/(O6+P6)</f>
        <v>7.4775672981056834E-2</v>
      </c>
      <c r="S6" s="43">
        <f t="shared" ref="S6:S15" si="0">Q6/(Q6+N6)</f>
        <v>1.6949152542372881E-2</v>
      </c>
      <c r="T6" s="41">
        <f>N6/(N6+O6)</f>
        <v>0.43609022556390975</v>
      </c>
      <c r="U6" s="44">
        <f>N6/(N6+Q6)</f>
        <v>0.98305084745762716</v>
      </c>
    </row>
    <row r="7" spans="2:21" ht="25.8" x14ac:dyDescent="0.3">
      <c r="B7" s="39">
        <v>0.5</v>
      </c>
      <c r="C7" s="40" t="s">
        <v>14</v>
      </c>
      <c r="D7" s="40">
        <v>27</v>
      </c>
      <c r="E7" s="40">
        <v>27</v>
      </c>
      <c r="F7" s="40">
        <v>0</v>
      </c>
      <c r="G7" s="40">
        <v>40</v>
      </c>
      <c r="H7" s="40">
        <v>4</v>
      </c>
      <c r="I7" s="41">
        <f t="shared" ref="I7:I15" si="1">F7/(F7+G7)</f>
        <v>0</v>
      </c>
      <c r="J7" s="41">
        <f t="shared" ref="J7:J15" si="2">H7/(H7+E7)</f>
        <v>0.12903225806451613</v>
      </c>
      <c r="K7" s="41">
        <f t="shared" ref="K7:K15" si="3">E7/(E7+F7)</f>
        <v>1</v>
      </c>
      <c r="L7" s="41">
        <f t="shared" ref="L7:L15" si="4">E7/(E7+H7)</f>
        <v>0.87096774193548387</v>
      </c>
      <c r="M7" s="45">
        <v>85</v>
      </c>
      <c r="N7" s="40">
        <v>58</v>
      </c>
      <c r="O7" s="40">
        <v>27</v>
      </c>
      <c r="P7" s="40">
        <v>422</v>
      </c>
      <c r="Q7" s="40">
        <v>1</v>
      </c>
      <c r="R7" s="41">
        <f t="shared" ref="R7:R15" si="5">O7/(O7+P7)</f>
        <v>6.0133630289532294E-2</v>
      </c>
      <c r="S7" s="46">
        <f t="shared" si="0"/>
        <v>1.6949152542372881E-2</v>
      </c>
      <c r="T7" s="41">
        <f>N7/(N7+O7)</f>
        <v>0.68235294117647061</v>
      </c>
      <c r="U7" s="47">
        <f t="shared" ref="U7:U13" si="6">N7/(N7+Q7)</f>
        <v>0.98305084745762716</v>
      </c>
    </row>
    <row r="8" spans="2:21" ht="25.8" x14ac:dyDescent="0.3">
      <c r="B8" s="48">
        <v>0.6</v>
      </c>
      <c r="C8" s="49" t="s">
        <v>20</v>
      </c>
      <c r="D8" s="49">
        <v>33</v>
      </c>
      <c r="E8" s="49">
        <v>30</v>
      </c>
      <c r="F8" s="49">
        <v>3</v>
      </c>
      <c r="G8" s="49">
        <v>218</v>
      </c>
      <c r="H8" s="49">
        <v>1</v>
      </c>
      <c r="I8" s="50">
        <f t="shared" si="1"/>
        <v>1.3574660633484163E-2</v>
      </c>
      <c r="J8" s="51">
        <f t="shared" si="2"/>
        <v>3.2258064516129031E-2</v>
      </c>
      <c r="K8" s="51">
        <f t="shared" si="3"/>
        <v>0.90909090909090906</v>
      </c>
      <c r="L8" s="51">
        <f t="shared" si="4"/>
        <v>0.967741935483871</v>
      </c>
      <c r="M8" s="52">
        <v>95</v>
      </c>
      <c r="N8" s="49">
        <v>53</v>
      </c>
      <c r="O8" s="49">
        <v>42</v>
      </c>
      <c r="P8" s="49">
        <v>928</v>
      </c>
      <c r="Q8" s="49">
        <v>6</v>
      </c>
      <c r="R8" s="51">
        <f t="shared" si="5"/>
        <v>4.3298969072164947E-2</v>
      </c>
      <c r="S8" s="53">
        <f t="shared" si="0"/>
        <v>0.10169491525423729</v>
      </c>
      <c r="T8" s="51">
        <f t="shared" ref="T8:T15" si="7">N8/(N8+O8)</f>
        <v>0.55789473684210522</v>
      </c>
      <c r="U8" s="54">
        <f t="shared" si="6"/>
        <v>0.89830508474576276</v>
      </c>
    </row>
    <row r="9" spans="2:21" ht="25.8" x14ac:dyDescent="0.3">
      <c r="B9" s="48">
        <v>0.6</v>
      </c>
      <c r="C9" s="49" t="s">
        <v>14</v>
      </c>
      <c r="D9" s="49">
        <v>27</v>
      </c>
      <c r="E9" s="49">
        <v>27</v>
      </c>
      <c r="F9" s="49">
        <v>0</v>
      </c>
      <c r="G9" s="49">
        <v>40</v>
      </c>
      <c r="H9" s="49">
        <v>4</v>
      </c>
      <c r="I9" s="51">
        <f t="shared" si="1"/>
        <v>0</v>
      </c>
      <c r="J9" s="51">
        <f t="shared" si="2"/>
        <v>0.12903225806451613</v>
      </c>
      <c r="K9" s="51">
        <f t="shared" si="3"/>
        <v>1</v>
      </c>
      <c r="L9" s="51">
        <f t="shared" si="4"/>
        <v>0.87096774193548387</v>
      </c>
      <c r="M9" s="52">
        <v>66</v>
      </c>
      <c r="N9" s="49">
        <v>53</v>
      </c>
      <c r="O9" s="49">
        <v>13</v>
      </c>
      <c r="P9" s="49">
        <v>422</v>
      </c>
      <c r="Q9" s="49">
        <v>6</v>
      </c>
      <c r="R9" s="51">
        <f t="shared" si="5"/>
        <v>2.9885057471264367E-2</v>
      </c>
      <c r="S9" s="53">
        <f t="shared" si="0"/>
        <v>0.10169491525423729</v>
      </c>
      <c r="T9" s="51">
        <f t="shared" si="7"/>
        <v>0.80303030303030298</v>
      </c>
      <c r="U9" s="54">
        <f t="shared" si="6"/>
        <v>0.89830508474576276</v>
      </c>
    </row>
    <row r="10" spans="2:21" ht="25.8" x14ac:dyDescent="0.3">
      <c r="B10" s="55">
        <v>0.7</v>
      </c>
      <c r="C10" s="56" t="s">
        <v>20</v>
      </c>
      <c r="D10" s="56">
        <v>30</v>
      </c>
      <c r="E10" s="56">
        <v>29</v>
      </c>
      <c r="F10" s="56">
        <v>1</v>
      </c>
      <c r="G10" s="56">
        <v>218</v>
      </c>
      <c r="H10" s="56">
        <v>2</v>
      </c>
      <c r="I10" s="57">
        <f t="shared" si="1"/>
        <v>4.5662100456621002E-3</v>
      </c>
      <c r="J10" s="58">
        <f t="shared" si="2"/>
        <v>6.4516129032258063E-2</v>
      </c>
      <c r="K10" s="58">
        <f t="shared" si="3"/>
        <v>0.96666666666666667</v>
      </c>
      <c r="L10" s="58">
        <f t="shared" si="4"/>
        <v>0.93548387096774188</v>
      </c>
      <c r="M10" s="59">
        <v>69</v>
      </c>
      <c r="N10" s="56">
        <v>46</v>
      </c>
      <c r="O10" s="56">
        <v>23</v>
      </c>
      <c r="P10" s="56">
        <v>928</v>
      </c>
      <c r="Q10" s="56">
        <v>13</v>
      </c>
      <c r="R10" s="58">
        <f t="shared" si="5"/>
        <v>2.4185068349106203E-2</v>
      </c>
      <c r="S10" s="60">
        <f t="shared" si="0"/>
        <v>0.22033898305084745</v>
      </c>
      <c r="T10" s="58">
        <f t="shared" si="7"/>
        <v>0.66666666666666663</v>
      </c>
      <c r="U10" s="61">
        <f t="shared" si="6"/>
        <v>0.77966101694915257</v>
      </c>
    </row>
    <row r="11" spans="2:21" ht="25.8" x14ac:dyDescent="0.3">
      <c r="B11" s="55">
        <v>0.7</v>
      </c>
      <c r="C11" s="56" t="s">
        <v>14</v>
      </c>
      <c r="D11" s="56">
        <v>26</v>
      </c>
      <c r="E11" s="56">
        <v>26</v>
      </c>
      <c r="F11" s="56">
        <v>0</v>
      </c>
      <c r="G11" s="56">
        <v>40</v>
      </c>
      <c r="H11" s="56">
        <v>5</v>
      </c>
      <c r="I11" s="58">
        <f t="shared" si="1"/>
        <v>0</v>
      </c>
      <c r="J11" s="58">
        <f t="shared" si="2"/>
        <v>0.16129032258064516</v>
      </c>
      <c r="K11" s="58">
        <f t="shared" si="3"/>
        <v>1</v>
      </c>
      <c r="L11" s="58">
        <f t="shared" si="4"/>
        <v>0.83870967741935487</v>
      </c>
      <c r="M11" s="59">
        <v>51</v>
      </c>
      <c r="N11" s="56">
        <v>46</v>
      </c>
      <c r="O11" s="56">
        <v>5</v>
      </c>
      <c r="P11" s="56">
        <v>422</v>
      </c>
      <c r="Q11" s="56">
        <v>13</v>
      </c>
      <c r="R11" s="58">
        <f t="shared" si="5"/>
        <v>1.1709601873536301E-2</v>
      </c>
      <c r="S11" s="60">
        <f t="shared" si="0"/>
        <v>0.22033898305084745</v>
      </c>
      <c r="T11" s="58">
        <f t="shared" si="7"/>
        <v>0.90196078431372551</v>
      </c>
      <c r="U11" s="61">
        <f t="shared" si="6"/>
        <v>0.77966101694915257</v>
      </c>
    </row>
    <row r="12" spans="2:21" ht="25.8" x14ac:dyDescent="0.3">
      <c r="B12" s="62">
        <v>0.8</v>
      </c>
      <c r="C12" s="63" t="s">
        <v>20</v>
      </c>
      <c r="D12" s="63">
        <v>23</v>
      </c>
      <c r="E12" s="63">
        <v>23</v>
      </c>
      <c r="F12" s="63">
        <v>0</v>
      </c>
      <c r="G12" s="63">
        <v>218</v>
      </c>
      <c r="H12" s="63">
        <v>8</v>
      </c>
      <c r="I12" s="64">
        <f t="shared" si="1"/>
        <v>0</v>
      </c>
      <c r="J12" s="64">
        <f t="shared" si="2"/>
        <v>0.25806451612903225</v>
      </c>
      <c r="K12" s="64">
        <f t="shared" si="3"/>
        <v>1</v>
      </c>
      <c r="L12" s="64">
        <f t="shared" si="4"/>
        <v>0.74193548387096775</v>
      </c>
      <c r="M12" s="65">
        <v>39</v>
      </c>
      <c r="N12" s="63">
        <v>35</v>
      </c>
      <c r="O12" s="63">
        <v>4</v>
      </c>
      <c r="P12" s="63">
        <v>928</v>
      </c>
      <c r="Q12" s="63">
        <v>24</v>
      </c>
      <c r="R12" s="64">
        <f t="shared" si="5"/>
        <v>4.2918454935622317E-3</v>
      </c>
      <c r="S12" s="66">
        <f t="shared" si="0"/>
        <v>0.40677966101694918</v>
      </c>
      <c r="T12" s="64">
        <f t="shared" si="7"/>
        <v>0.89743589743589747</v>
      </c>
      <c r="U12" s="67">
        <f t="shared" si="6"/>
        <v>0.59322033898305082</v>
      </c>
    </row>
    <row r="13" spans="2:21" ht="25.8" x14ac:dyDescent="0.3">
      <c r="B13" s="62">
        <v>0.8</v>
      </c>
      <c r="C13" s="63" t="s">
        <v>14</v>
      </c>
      <c r="D13" s="63">
        <v>22</v>
      </c>
      <c r="E13" s="63">
        <v>22</v>
      </c>
      <c r="F13" s="63">
        <v>0</v>
      </c>
      <c r="G13" s="63">
        <v>40</v>
      </c>
      <c r="H13" s="63">
        <v>9</v>
      </c>
      <c r="I13" s="64">
        <f t="shared" si="1"/>
        <v>0</v>
      </c>
      <c r="J13" s="64">
        <f t="shared" si="2"/>
        <v>0.29032258064516131</v>
      </c>
      <c r="K13" s="64">
        <f t="shared" si="3"/>
        <v>1</v>
      </c>
      <c r="L13" s="64">
        <f t="shared" si="4"/>
        <v>0.70967741935483875</v>
      </c>
      <c r="M13" s="65">
        <v>36</v>
      </c>
      <c r="N13" s="63">
        <v>35</v>
      </c>
      <c r="O13" s="63">
        <v>1</v>
      </c>
      <c r="P13" s="63">
        <v>422</v>
      </c>
      <c r="Q13" s="63">
        <v>24</v>
      </c>
      <c r="R13" s="64">
        <f t="shared" si="5"/>
        <v>2.3640661938534278E-3</v>
      </c>
      <c r="S13" s="66">
        <f t="shared" si="0"/>
        <v>0.40677966101694918</v>
      </c>
      <c r="T13" s="64">
        <f t="shared" si="7"/>
        <v>0.97222222222222221</v>
      </c>
      <c r="U13" s="67">
        <f t="shared" si="6"/>
        <v>0.59322033898305082</v>
      </c>
    </row>
    <row r="14" spans="2:21" ht="25.8" x14ac:dyDescent="0.3">
      <c r="B14" s="68">
        <v>0.9</v>
      </c>
      <c r="C14" s="69" t="s">
        <v>20</v>
      </c>
      <c r="D14" s="69">
        <v>10</v>
      </c>
      <c r="E14" s="69">
        <v>10</v>
      </c>
      <c r="F14" s="69">
        <v>0</v>
      </c>
      <c r="G14" s="69">
        <v>218</v>
      </c>
      <c r="H14" s="69">
        <v>21</v>
      </c>
      <c r="I14" s="70">
        <f t="shared" si="1"/>
        <v>0</v>
      </c>
      <c r="J14" s="70">
        <f t="shared" si="2"/>
        <v>0.67741935483870963</v>
      </c>
      <c r="K14" s="70">
        <f t="shared" si="3"/>
        <v>1</v>
      </c>
      <c r="L14" s="70">
        <f t="shared" si="4"/>
        <v>0.32258064516129031</v>
      </c>
      <c r="M14" s="71">
        <v>12</v>
      </c>
      <c r="N14" s="69">
        <v>12</v>
      </c>
      <c r="O14" s="69">
        <v>0</v>
      </c>
      <c r="P14" s="69">
        <v>928</v>
      </c>
      <c r="Q14" s="69">
        <v>47</v>
      </c>
      <c r="R14" s="70">
        <f t="shared" si="5"/>
        <v>0</v>
      </c>
      <c r="S14" s="72">
        <f t="shared" si="0"/>
        <v>0.79661016949152541</v>
      </c>
      <c r="T14" s="70">
        <f t="shared" si="7"/>
        <v>1</v>
      </c>
      <c r="U14" s="73">
        <f>N14/(N14+Q14)</f>
        <v>0.20338983050847459</v>
      </c>
    </row>
    <row r="15" spans="2:21" ht="25.8" x14ac:dyDescent="0.3">
      <c r="B15" s="74">
        <v>0.9</v>
      </c>
      <c r="C15" s="75" t="s">
        <v>14</v>
      </c>
      <c r="D15" s="75">
        <v>10</v>
      </c>
      <c r="E15" s="75">
        <v>10</v>
      </c>
      <c r="F15" s="75">
        <v>0</v>
      </c>
      <c r="G15" s="75">
        <v>40</v>
      </c>
      <c r="H15" s="75">
        <v>21</v>
      </c>
      <c r="I15" s="76">
        <f t="shared" si="1"/>
        <v>0</v>
      </c>
      <c r="J15" s="76">
        <f t="shared" si="2"/>
        <v>0.67741935483870963</v>
      </c>
      <c r="K15" s="76">
        <f t="shared" si="3"/>
        <v>1</v>
      </c>
      <c r="L15" s="76">
        <f t="shared" si="4"/>
        <v>0.32258064516129031</v>
      </c>
      <c r="M15" s="77">
        <v>12</v>
      </c>
      <c r="N15" s="75">
        <v>12</v>
      </c>
      <c r="O15" s="75">
        <v>0</v>
      </c>
      <c r="P15" s="75">
        <v>422</v>
      </c>
      <c r="Q15" s="75">
        <v>47</v>
      </c>
      <c r="R15" s="76">
        <f t="shared" si="5"/>
        <v>0</v>
      </c>
      <c r="S15" s="76">
        <f t="shared" si="0"/>
        <v>0.79661016949152541</v>
      </c>
      <c r="T15" s="76">
        <f t="shared" si="7"/>
        <v>1</v>
      </c>
      <c r="U15" s="78">
        <f>N15/(N15+Q15)</f>
        <v>0.20338983050847459</v>
      </c>
    </row>
    <row r="19" spans="12:21" ht="31.2" x14ac:dyDescent="0.3">
      <c r="M19" s="98" t="s">
        <v>23</v>
      </c>
      <c r="N19" s="99"/>
      <c r="O19" s="99"/>
      <c r="P19" s="99"/>
      <c r="Q19" s="99"/>
      <c r="R19" s="99"/>
      <c r="S19" s="99"/>
      <c r="T19" s="99"/>
      <c r="U19" s="100"/>
    </row>
    <row r="20" spans="12:21" ht="25.8" x14ac:dyDescent="0.3">
      <c r="L20" s="35" t="s">
        <v>3</v>
      </c>
      <c r="M20" s="35" t="s">
        <v>4</v>
      </c>
      <c r="N20" s="35" t="s">
        <v>5</v>
      </c>
      <c r="O20" s="35" t="s">
        <v>6</v>
      </c>
      <c r="P20" s="35" t="s">
        <v>7</v>
      </c>
      <c r="Q20" s="35" t="s">
        <v>8</v>
      </c>
      <c r="R20" s="36" t="s">
        <v>9</v>
      </c>
      <c r="S20" s="36" t="s">
        <v>10</v>
      </c>
      <c r="T20" s="36" t="s">
        <v>11</v>
      </c>
      <c r="U20" s="38" t="s">
        <v>12</v>
      </c>
    </row>
    <row r="21" spans="12:21" ht="25.8" x14ac:dyDescent="0.3">
      <c r="L21" s="40" t="s">
        <v>20</v>
      </c>
      <c r="M21" s="42">
        <v>133</v>
      </c>
      <c r="N21" s="40">
        <v>58</v>
      </c>
      <c r="O21" s="40">
        <v>75</v>
      </c>
      <c r="P21" s="40">
        <v>928</v>
      </c>
      <c r="Q21" s="40">
        <v>1</v>
      </c>
      <c r="R21" s="41">
        <f>O21/(O21+P21)</f>
        <v>7.4775672981056834E-2</v>
      </c>
      <c r="S21" s="43">
        <f t="shared" ref="S21:S30" si="8">Q21/(Q21+N21)</f>
        <v>1.6949152542372881E-2</v>
      </c>
      <c r="T21" s="41">
        <f>N21/(N21+O21)</f>
        <v>0.43609022556390975</v>
      </c>
      <c r="U21" s="44">
        <f>N21/(N21+Q21)</f>
        <v>0.98305084745762716</v>
      </c>
    </row>
    <row r="22" spans="12:21" ht="25.8" x14ac:dyDescent="0.3">
      <c r="L22" s="40" t="s">
        <v>14</v>
      </c>
      <c r="M22" s="45">
        <v>80</v>
      </c>
      <c r="N22" s="40">
        <v>52</v>
      </c>
      <c r="O22" s="40">
        <v>28</v>
      </c>
      <c r="P22" s="40">
        <v>332</v>
      </c>
      <c r="Q22" s="40">
        <v>7</v>
      </c>
      <c r="R22" s="41">
        <f t="shared" ref="R22:R30" si="9">O22/(O22+P22)</f>
        <v>7.7777777777777779E-2</v>
      </c>
      <c r="S22" s="46">
        <f t="shared" si="8"/>
        <v>0.11864406779661017</v>
      </c>
      <c r="T22" s="41">
        <f>N22/(N22+O22)</f>
        <v>0.65</v>
      </c>
      <c r="U22" s="47">
        <f t="shared" ref="U22:U28" si="10">N22/(N22+Q22)</f>
        <v>0.88135593220338981</v>
      </c>
    </row>
    <row r="23" spans="12:21" ht="25.8" x14ac:dyDescent="0.3">
      <c r="L23" s="49" t="s">
        <v>20</v>
      </c>
      <c r="M23" s="52">
        <v>95</v>
      </c>
      <c r="N23" s="49">
        <v>53</v>
      </c>
      <c r="O23" s="49">
        <v>42</v>
      </c>
      <c r="P23" s="49">
        <v>928</v>
      </c>
      <c r="Q23" s="49">
        <v>6</v>
      </c>
      <c r="R23" s="51">
        <f t="shared" si="9"/>
        <v>4.3298969072164947E-2</v>
      </c>
      <c r="S23" s="53">
        <f t="shared" si="8"/>
        <v>0.10169491525423729</v>
      </c>
      <c r="T23" s="51">
        <f t="shared" ref="T23:T30" si="11">N23/(N23+O23)</f>
        <v>0.55789473684210522</v>
      </c>
      <c r="U23" s="54">
        <f t="shared" si="10"/>
        <v>0.89830508474576276</v>
      </c>
    </row>
    <row r="24" spans="12:21" ht="25.8" x14ac:dyDescent="0.3">
      <c r="L24" s="49" t="s">
        <v>14</v>
      </c>
      <c r="M24" s="52">
        <v>65</v>
      </c>
      <c r="N24" s="49">
        <v>47</v>
      </c>
      <c r="O24" s="49">
        <v>18</v>
      </c>
      <c r="P24" s="49">
        <v>332</v>
      </c>
      <c r="Q24" s="49">
        <v>12</v>
      </c>
      <c r="R24" s="51">
        <f t="shared" si="9"/>
        <v>5.1428571428571428E-2</v>
      </c>
      <c r="S24" s="53">
        <f t="shared" si="8"/>
        <v>0.20338983050847459</v>
      </c>
      <c r="T24" s="51">
        <f t="shared" si="11"/>
        <v>0.72307692307692306</v>
      </c>
      <c r="U24" s="54">
        <f t="shared" si="10"/>
        <v>0.79661016949152541</v>
      </c>
    </row>
    <row r="25" spans="12:21" ht="25.8" x14ac:dyDescent="0.3">
      <c r="L25" s="56" t="s">
        <v>20</v>
      </c>
      <c r="M25" s="59">
        <v>69</v>
      </c>
      <c r="N25" s="56">
        <v>46</v>
      </c>
      <c r="O25" s="56">
        <v>23</v>
      </c>
      <c r="P25" s="56">
        <v>928</v>
      </c>
      <c r="Q25" s="56">
        <v>13</v>
      </c>
      <c r="R25" s="58">
        <f t="shared" si="9"/>
        <v>2.4185068349106203E-2</v>
      </c>
      <c r="S25" s="60">
        <f t="shared" si="8"/>
        <v>0.22033898305084745</v>
      </c>
      <c r="T25" s="58">
        <f t="shared" si="11"/>
        <v>0.66666666666666663</v>
      </c>
      <c r="U25" s="61">
        <f t="shared" si="10"/>
        <v>0.77966101694915257</v>
      </c>
    </row>
    <row r="26" spans="12:21" ht="25.8" x14ac:dyDescent="0.3">
      <c r="L26" s="56" t="s">
        <v>14</v>
      </c>
      <c r="M26" s="59">
        <v>51</v>
      </c>
      <c r="N26" s="56">
        <v>40</v>
      </c>
      <c r="O26" s="56">
        <v>11</v>
      </c>
      <c r="P26" s="56">
        <v>332</v>
      </c>
      <c r="Q26" s="56">
        <v>19</v>
      </c>
      <c r="R26" s="58">
        <f t="shared" si="9"/>
        <v>3.2069970845481049E-2</v>
      </c>
      <c r="S26" s="60">
        <f t="shared" si="8"/>
        <v>0.32203389830508472</v>
      </c>
      <c r="T26" s="58">
        <f t="shared" si="11"/>
        <v>0.78431372549019607</v>
      </c>
      <c r="U26" s="61">
        <f t="shared" si="10"/>
        <v>0.67796610169491522</v>
      </c>
    </row>
    <row r="27" spans="12:21" ht="25.8" x14ac:dyDescent="0.3">
      <c r="L27" s="63" t="s">
        <v>20</v>
      </c>
      <c r="M27" s="65">
        <v>39</v>
      </c>
      <c r="N27" s="63">
        <v>35</v>
      </c>
      <c r="O27" s="63">
        <v>4</v>
      </c>
      <c r="P27" s="63">
        <v>928</v>
      </c>
      <c r="Q27" s="63">
        <v>24</v>
      </c>
      <c r="R27" s="64">
        <f t="shared" si="9"/>
        <v>4.2918454935622317E-3</v>
      </c>
      <c r="S27" s="66">
        <f t="shared" si="8"/>
        <v>0.40677966101694918</v>
      </c>
      <c r="T27" s="64">
        <f t="shared" si="11"/>
        <v>0.89743589743589747</v>
      </c>
      <c r="U27" s="67">
        <f t="shared" si="10"/>
        <v>0.59322033898305082</v>
      </c>
    </row>
    <row r="28" spans="12:21" ht="25.8" x14ac:dyDescent="0.3">
      <c r="L28" s="63" t="s">
        <v>14</v>
      </c>
      <c r="M28" s="65">
        <v>34</v>
      </c>
      <c r="N28" s="63">
        <v>31</v>
      </c>
      <c r="O28" s="63">
        <v>3</v>
      </c>
      <c r="P28" s="63">
        <v>332</v>
      </c>
      <c r="Q28" s="63">
        <v>28</v>
      </c>
      <c r="R28" s="64">
        <f t="shared" si="9"/>
        <v>8.9552238805970154E-3</v>
      </c>
      <c r="S28" s="66">
        <f t="shared" si="8"/>
        <v>0.47457627118644069</v>
      </c>
      <c r="T28" s="64">
        <f t="shared" si="11"/>
        <v>0.91176470588235292</v>
      </c>
      <c r="U28" s="67">
        <f t="shared" si="10"/>
        <v>0.52542372881355937</v>
      </c>
    </row>
    <row r="29" spans="12:21" ht="25.8" x14ac:dyDescent="0.3">
      <c r="L29" s="69" t="s">
        <v>20</v>
      </c>
      <c r="M29" s="71">
        <v>12</v>
      </c>
      <c r="N29" s="69">
        <v>12</v>
      </c>
      <c r="O29" s="69">
        <v>0</v>
      </c>
      <c r="P29" s="69">
        <v>928</v>
      </c>
      <c r="Q29" s="69">
        <v>47</v>
      </c>
      <c r="R29" s="70">
        <f t="shared" si="9"/>
        <v>0</v>
      </c>
      <c r="S29" s="72">
        <f t="shared" si="8"/>
        <v>0.79661016949152541</v>
      </c>
      <c r="T29" s="70">
        <f t="shared" si="11"/>
        <v>1</v>
      </c>
      <c r="U29" s="73">
        <f>N29/(N29+Q29)</f>
        <v>0.20338983050847459</v>
      </c>
    </row>
    <row r="30" spans="12:21" ht="25.8" x14ac:dyDescent="0.3">
      <c r="L30" s="75" t="s">
        <v>14</v>
      </c>
      <c r="M30" s="77">
        <v>11</v>
      </c>
      <c r="N30" s="75">
        <v>11</v>
      </c>
      <c r="O30" s="75">
        <v>0</v>
      </c>
      <c r="P30" s="75">
        <v>332</v>
      </c>
      <c r="Q30" s="75">
        <v>48</v>
      </c>
      <c r="R30" s="76">
        <f t="shared" si="9"/>
        <v>0</v>
      </c>
      <c r="S30" s="76">
        <f t="shared" si="8"/>
        <v>0.81355932203389836</v>
      </c>
      <c r="T30" s="76">
        <f t="shared" si="11"/>
        <v>1</v>
      </c>
      <c r="U30" s="78">
        <f>N30/(N30+Q30)</f>
        <v>0.1864406779661017</v>
      </c>
    </row>
  </sheetData>
  <autoFilter ref="B5:U15" xr:uid="{25C3BF92-75E9-4441-9746-3225AE1B65EC}"/>
  <mergeCells count="4">
    <mergeCell ref="B4:B5"/>
    <mergeCell ref="C4:L4"/>
    <mergeCell ref="M4:U4"/>
    <mergeCell ref="M19:U19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EEA95-A5D8-48E3-AD48-F2DD8DCCC2D8}">
  <dimension ref="C2:Y31"/>
  <sheetViews>
    <sheetView topLeftCell="D1" zoomScale="60" zoomScaleNormal="60" workbookViewId="0">
      <selection activeCell="H6" sqref="H6"/>
    </sheetView>
  </sheetViews>
  <sheetFormatPr defaultRowHeight="14.4" x14ac:dyDescent="0.3"/>
  <cols>
    <col min="1" max="2" width="20.21875" customWidth="1"/>
    <col min="3" max="3" width="16.77734375" customWidth="1"/>
    <col min="4" max="4" width="9.88671875" customWidth="1"/>
    <col min="5" max="5" width="22.21875" customWidth="1"/>
    <col min="6" max="6" width="20.33203125" customWidth="1"/>
    <col min="7" max="7" width="16.5546875" bestFit="1" customWidth="1"/>
    <col min="8" max="13" width="10.77734375" customWidth="1"/>
    <col min="14" max="15" width="15.77734375" customWidth="1"/>
    <col min="16" max="16" width="16.5546875" bestFit="1" customWidth="1"/>
    <col min="17" max="22" width="10.77734375" customWidth="1"/>
    <col min="23" max="24" width="15.77734375" customWidth="1"/>
  </cols>
  <sheetData>
    <row r="2" spans="3:24" ht="46.8" customHeight="1" x14ac:dyDescent="0.55000000000000004">
      <c r="E2" s="1"/>
      <c r="F2" s="79"/>
      <c r="G2" s="79"/>
      <c r="H2" s="79"/>
      <c r="I2" s="79"/>
      <c r="J2" s="79"/>
      <c r="K2" s="79"/>
      <c r="L2" s="79"/>
      <c r="M2" s="79"/>
    </row>
    <row r="3" spans="3:24" ht="59.4" customHeight="1" x14ac:dyDescent="0.3">
      <c r="D3" s="2"/>
      <c r="E3" s="80" t="s">
        <v>0</v>
      </c>
      <c r="F3" s="82" t="s">
        <v>1</v>
      </c>
      <c r="G3" s="83"/>
      <c r="H3" s="83"/>
      <c r="I3" s="83"/>
      <c r="J3" s="83"/>
      <c r="K3" s="83"/>
      <c r="L3" s="83"/>
      <c r="M3" s="83"/>
      <c r="N3" s="83"/>
      <c r="O3" s="84"/>
      <c r="P3" s="85" t="s">
        <v>21</v>
      </c>
      <c r="Q3" s="86"/>
      <c r="R3" s="86"/>
      <c r="S3" s="86"/>
      <c r="T3" s="86"/>
      <c r="U3" s="86"/>
      <c r="V3" s="86"/>
      <c r="W3" s="86"/>
      <c r="X3" s="87"/>
    </row>
    <row r="4" spans="3:24" ht="63" customHeight="1" x14ac:dyDescent="0.3">
      <c r="C4" s="88"/>
      <c r="D4" s="3"/>
      <c r="E4" s="81"/>
      <c r="F4" s="35" t="s">
        <v>3</v>
      </c>
      <c r="G4" s="35" t="s">
        <v>4</v>
      </c>
      <c r="H4" s="35" t="s">
        <v>5</v>
      </c>
      <c r="I4" s="35" t="s">
        <v>6</v>
      </c>
      <c r="J4" s="35" t="s">
        <v>7</v>
      </c>
      <c r="K4" s="35" t="s">
        <v>8</v>
      </c>
      <c r="L4" s="36" t="s">
        <v>9</v>
      </c>
      <c r="M4" s="36" t="s">
        <v>10</v>
      </c>
      <c r="N4" s="37" t="s">
        <v>11</v>
      </c>
      <c r="O4" s="38" t="s">
        <v>12</v>
      </c>
      <c r="P4" s="35" t="s">
        <v>4</v>
      </c>
      <c r="Q4" s="35" t="s">
        <v>5</v>
      </c>
      <c r="R4" s="35" t="s">
        <v>6</v>
      </c>
      <c r="S4" s="35" t="s">
        <v>7</v>
      </c>
      <c r="T4" s="35" t="s">
        <v>8</v>
      </c>
      <c r="U4" s="36" t="s">
        <v>9</v>
      </c>
      <c r="V4" s="36" t="s">
        <v>10</v>
      </c>
      <c r="W4" s="36" t="s">
        <v>11</v>
      </c>
      <c r="X4" s="38" t="s">
        <v>12</v>
      </c>
    </row>
    <row r="5" spans="3:24" s="30" customFormat="1" ht="37.799999999999997" customHeight="1" x14ac:dyDescent="0.3">
      <c r="C5" s="88"/>
      <c r="D5" s="89"/>
      <c r="E5" s="39">
        <v>0.5</v>
      </c>
      <c r="F5" s="40" t="s">
        <v>20</v>
      </c>
      <c r="G5" s="40">
        <v>39</v>
      </c>
      <c r="H5" s="40">
        <v>30</v>
      </c>
      <c r="I5" s="40">
        <v>9</v>
      </c>
      <c r="J5" s="40">
        <v>218</v>
      </c>
      <c r="K5" s="40">
        <v>1</v>
      </c>
      <c r="L5" s="41">
        <f>I5/(I5+J5)</f>
        <v>3.9647577092511016E-2</v>
      </c>
      <c r="M5" s="41">
        <f>K5/(K5+H5)</f>
        <v>3.2258064516129031E-2</v>
      </c>
      <c r="N5" s="41">
        <f>H5/(H5+I5)</f>
        <v>0.76923076923076927</v>
      </c>
      <c r="O5" s="41">
        <f>H5/(H5+K5)</f>
        <v>0.967741935483871</v>
      </c>
      <c r="P5" s="42">
        <v>133</v>
      </c>
      <c r="Q5" s="40">
        <v>58</v>
      </c>
      <c r="R5" s="40">
        <v>75</v>
      </c>
      <c r="S5" s="40">
        <v>933</v>
      </c>
      <c r="T5" s="40">
        <v>1</v>
      </c>
      <c r="U5" s="41">
        <f>R5/(R5+S5)</f>
        <v>7.4404761904761904E-2</v>
      </c>
      <c r="V5" s="43">
        <f t="shared" ref="V5:V14" si="0">T5/(T5+Q5)</f>
        <v>1.6949152542372881E-2</v>
      </c>
      <c r="W5" s="41">
        <f>Q5/(Q5+R5)</f>
        <v>0.43609022556390975</v>
      </c>
      <c r="X5" s="44">
        <f>Q5/(Q5+T5)</f>
        <v>0.98305084745762716</v>
      </c>
    </row>
    <row r="6" spans="3:24" s="30" customFormat="1" ht="37.799999999999997" customHeight="1" x14ac:dyDescent="0.3">
      <c r="C6" s="88"/>
      <c r="D6" s="89"/>
      <c r="E6" s="39">
        <v>0.5</v>
      </c>
      <c r="F6" s="40" t="s">
        <v>14</v>
      </c>
      <c r="G6" s="40">
        <v>26</v>
      </c>
      <c r="H6" s="40">
        <v>26</v>
      </c>
      <c r="I6" s="40">
        <v>0</v>
      </c>
      <c r="J6" s="40">
        <v>37</v>
      </c>
      <c r="K6" s="40">
        <v>5</v>
      </c>
      <c r="L6" s="41">
        <f t="shared" ref="L6:L14" si="1">I6/(I6+J6)</f>
        <v>0</v>
      </c>
      <c r="M6" s="41">
        <f t="shared" ref="M6:M14" si="2">K6/(K6+H6)</f>
        <v>0.16129032258064516</v>
      </c>
      <c r="N6" s="41">
        <f t="shared" ref="N6:N14" si="3">H6/(H6+I6)</f>
        <v>1</v>
      </c>
      <c r="O6" s="41">
        <f t="shared" ref="O6:O14" si="4">H6/(H6+K6)</f>
        <v>0.83870967741935487</v>
      </c>
      <c r="P6" s="45">
        <v>53</v>
      </c>
      <c r="Q6" s="40">
        <v>53</v>
      </c>
      <c r="R6" s="40">
        <v>0</v>
      </c>
      <c r="S6" s="40">
        <v>111</v>
      </c>
      <c r="T6" s="40">
        <v>6</v>
      </c>
      <c r="U6" s="41">
        <f t="shared" ref="U6:U14" si="5">R6/(R6+S6)</f>
        <v>0</v>
      </c>
      <c r="V6" s="46">
        <f t="shared" si="0"/>
        <v>0.10169491525423729</v>
      </c>
      <c r="W6" s="41">
        <f>Q6/(Q6+R6)</f>
        <v>1</v>
      </c>
      <c r="X6" s="47">
        <f t="shared" ref="X6:X12" si="6">Q6/(Q6+T6)</f>
        <v>0.89830508474576276</v>
      </c>
    </row>
    <row r="7" spans="3:24" s="30" customFormat="1" ht="37.799999999999997" customHeight="1" x14ac:dyDescent="0.3">
      <c r="C7" s="88"/>
      <c r="D7" s="89"/>
      <c r="E7" s="48">
        <v>0.6</v>
      </c>
      <c r="F7" s="49" t="s">
        <v>20</v>
      </c>
      <c r="G7" s="49">
        <v>33</v>
      </c>
      <c r="H7" s="49">
        <v>30</v>
      </c>
      <c r="I7" s="49">
        <v>3</v>
      </c>
      <c r="J7" s="49">
        <v>218</v>
      </c>
      <c r="K7" s="49">
        <v>1</v>
      </c>
      <c r="L7" s="50">
        <f t="shared" si="1"/>
        <v>1.3574660633484163E-2</v>
      </c>
      <c r="M7" s="51">
        <f t="shared" si="2"/>
        <v>3.2258064516129031E-2</v>
      </c>
      <c r="N7" s="51">
        <f t="shared" si="3"/>
        <v>0.90909090909090906</v>
      </c>
      <c r="O7" s="51">
        <f t="shared" si="4"/>
        <v>0.967741935483871</v>
      </c>
      <c r="P7" s="52">
        <v>95</v>
      </c>
      <c r="Q7" s="49">
        <v>53</v>
      </c>
      <c r="R7" s="49">
        <v>42</v>
      </c>
      <c r="S7" s="49">
        <v>933</v>
      </c>
      <c r="T7" s="49">
        <v>6</v>
      </c>
      <c r="U7" s="51">
        <f t="shared" si="5"/>
        <v>4.3076923076923075E-2</v>
      </c>
      <c r="V7" s="53">
        <f t="shared" si="0"/>
        <v>0.10169491525423729</v>
      </c>
      <c r="W7" s="51">
        <f t="shared" ref="W7:W14" si="7">Q7/(Q7+R7)</f>
        <v>0.55789473684210522</v>
      </c>
      <c r="X7" s="54">
        <f t="shared" si="6"/>
        <v>0.89830508474576276</v>
      </c>
    </row>
    <row r="8" spans="3:24" s="30" customFormat="1" ht="37.799999999999997" customHeight="1" x14ac:dyDescent="0.3">
      <c r="C8" s="88"/>
      <c r="D8" s="89"/>
      <c r="E8" s="48">
        <v>0.6</v>
      </c>
      <c r="F8" s="49" t="s">
        <v>14</v>
      </c>
      <c r="G8" s="49">
        <v>26</v>
      </c>
      <c r="H8" s="49">
        <v>26</v>
      </c>
      <c r="I8" s="49">
        <v>0</v>
      </c>
      <c r="J8" s="49">
        <v>37</v>
      </c>
      <c r="K8" s="49">
        <v>5</v>
      </c>
      <c r="L8" s="51">
        <f t="shared" si="1"/>
        <v>0</v>
      </c>
      <c r="M8" s="51">
        <f t="shared" si="2"/>
        <v>0.16129032258064516</v>
      </c>
      <c r="N8" s="51">
        <f t="shared" si="3"/>
        <v>1</v>
      </c>
      <c r="O8" s="51">
        <f t="shared" si="4"/>
        <v>0.83870967741935487</v>
      </c>
      <c r="P8" s="52">
        <v>48</v>
      </c>
      <c r="Q8" s="49">
        <v>48</v>
      </c>
      <c r="R8" s="49">
        <v>0</v>
      </c>
      <c r="S8" s="49">
        <v>111</v>
      </c>
      <c r="T8" s="49">
        <v>11</v>
      </c>
      <c r="U8" s="51">
        <f t="shared" si="5"/>
        <v>0</v>
      </c>
      <c r="V8" s="53">
        <f t="shared" si="0"/>
        <v>0.1864406779661017</v>
      </c>
      <c r="W8" s="51">
        <f t="shared" si="7"/>
        <v>1</v>
      </c>
      <c r="X8" s="54">
        <f t="shared" si="6"/>
        <v>0.81355932203389836</v>
      </c>
    </row>
    <row r="9" spans="3:24" s="30" customFormat="1" ht="37.799999999999997" customHeight="1" x14ac:dyDescent="0.3">
      <c r="D9" s="89"/>
      <c r="E9" s="55">
        <v>0.7</v>
      </c>
      <c r="F9" s="56" t="s">
        <v>20</v>
      </c>
      <c r="G9" s="56">
        <v>30</v>
      </c>
      <c r="H9" s="56">
        <v>29</v>
      </c>
      <c r="I9" s="56">
        <v>1</v>
      </c>
      <c r="J9" s="56">
        <v>218</v>
      </c>
      <c r="K9" s="56">
        <v>2</v>
      </c>
      <c r="L9" s="57">
        <f t="shared" si="1"/>
        <v>4.5662100456621002E-3</v>
      </c>
      <c r="M9" s="58">
        <f t="shared" si="2"/>
        <v>6.4516129032258063E-2</v>
      </c>
      <c r="N9" s="58">
        <f t="shared" si="3"/>
        <v>0.96666666666666667</v>
      </c>
      <c r="O9" s="58">
        <f t="shared" si="4"/>
        <v>0.93548387096774188</v>
      </c>
      <c r="P9" s="59">
        <v>69</v>
      </c>
      <c r="Q9" s="56">
        <v>46</v>
      </c>
      <c r="R9" s="56">
        <v>23</v>
      </c>
      <c r="S9" s="56">
        <v>933</v>
      </c>
      <c r="T9" s="56">
        <v>13</v>
      </c>
      <c r="U9" s="58">
        <f t="shared" si="5"/>
        <v>2.4058577405857741E-2</v>
      </c>
      <c r="V9" s="60">
        <f t="shared" si="0"/>
        <v>0.22033898305084745</v>
      </c>
      <c r="W9" s="58">
        <f t="shared" si="7"/>
        <v>0.66666666666666663</v>
      </c>
      <c r="X9" s="61">
        <f t="shared" si="6"/>
        <v>0.77966101694915257</v>
      </c>
    </row>
    <row r="10" spans="3:24" s="30" customFormat="1" ht="37.799999999999997" customHeight="1" x14ac:dyDescent="0.3">
      <c r="E10" s="55">
        <v>0.7</v>
      </c>
      <c r="F10" s="56" t="s">
        <v>14</v>
      </c>
      <c r="G10" s="56">
        <v>25</v>
      </c>
      <c r="H10" s="56">
        <v>25</v>
      </c>
      <c r="I10" s="56">
        <v>0</v>
      </c>
      <c r="J10" s="56">
        <v>37</v>
      </c>
      <c r="K10" s="56">
        <v>6</v>
      </c>
      <c r="L10" s="58">
        <f t="shared" si="1"/>
        <v>0</v>
      </c>
      <c r="M10" s="58">
        <f t="shared" si="2"/>
        <v>0.19354838709677419</v>
      </c>
      <c r="N10" s="58">
        <f t="shared" si="3"/>
        <v>1</v>
      </c>
      <c r="O10" s="58">
        <f t="shared" si="4"/>
        <v>0.80645161290322576</v>
      </c>
      <c r="P10" s="59">
        <v>41</v>
      </c>
      <c r="Q10" s="56">
        <v>41</v>
      </c>
      <c r="R10" s="56">
        <v>0</v>
      </c>
      <c r="S10" s="56">
        <v>111</v>
      </c>
      <c r="T10" s="56">
        <v>18</v>
      </c>
      <c r="U10" s="58">
        <f t="shared" si="5"/>
        <v>0</v>
      </c>
      <c r="V10" s="60">
        <f t="shared" si="0"/>
        <v>0.30508474576271188</v>
      </c>
      <c r="W10" s="58">
        <f t="shared" si="7"/>
        <v>1</v>
      </c>
      <c r="X10" s="61">
        <f t="shared" si="6"/>
        <v>0.69491525423728817</v>
      </c>
    </row>
    <row r="11" spans="3:24" s="30" customFormat="1" ht="37.799999999999997" customHeight="1" x14ac:dyDescent="0.3">
      <c r="E11" s="62">
        <v>0.8</v>
      </c>
      <c r="F11" s="63" t="s">
        <v>20</v>
      </c>
      <c r="G11" s="63">
        <v>23</v>
      </c>
      <c r="H11" s="63">
        <v>23</v>
      </c>
      <c r="I11" s="63">
        <v>0</v>
      </c>
      <c r="J11" s="63">
        <v>218</v>
      </c>
      <c r="K11" s="63">
        <v>8</v>
      </c>
      <c r="L11" s="64">
        <f t="shared" si="1"/>
        <v>0</v>
      </c>
      <c r="M11" s="64">
        <f t="shared" si="2"/>
        <v>0.25806451612903225</v>
      </c>
      <c r="N11" s="64">
        <f t="shared" si="3"/>
        <v>1</v>
      </c>
      <c r="O11" s="64">
        <f t="shared" si="4"/>
        <v>0.74193548387096775</v>
      </c>
      <c r="P11" s="65">
        <v>39</v>
      </c>
      <c r="Q11" s="63">
        <v>35</v>
      </c>
      <c r="R11" s="63">
        <v>4</v>
      </c>
      <c r="S11" s="63">
        <v>933</v>
      </c>
      <c r="T11" s="63">
        <v>24</v>
      </c>
      <c r="U11" s="64">
        <f t="shared" si="5"/>
        <v>4.2689434364994666E-3</v>
      </c>
      <c r="V11" s="66">
        <f t="shared" si="0"/>
        <v>0.40677966101694918</v>
      </c>
      <c r="W11" s="64">
        <f t="shared" si="7"/>
        <v>0.89743589743589747</v>
      </c>
      <c r="X11" s="67">
        <f t="shared" si="6"/>
        <v>0.59322033898305082</v>
      </c>
    </row>
    <row r="12" spans="3:24" s="30" customFormat="1" ht="37.799999999999997" customHeight="1" x14ac:dyDescent="0.3">
      <c r="E12" s="62">
        <v>0.8</v>
      </c>
      <c r="F12" s="63" t="s">
        <v>14</v>
      </c>
      <c r="G12" s="63">
        <v>21</v>
      </c>
      <c r="H12" s="63">
        <v>21</v>
      </c>
      <c r="I12" s="63">
        <v>0</v>
      </c>
      <c r="J12" s="63">
        <v>37</v>
      </c>
      <c r="K12" s="63">
        <v>10</v>
      </c>
      <c r="L12" s="64">
        <f t="shared" si="1"/>
        <v>0</v>
      </c>
      <c r="M12" s="64">
        <f t="shared" si="2"/>
        <v>0.32258064516129031</v>
      </c>
      <c r="N12" s="64">
        <f t="shared" si="3"/>
        <v>1</v>
      </c>
      <c r="O12" s="64">
        <f t="shared" si="4"/>
        <v>0.67741935483870963</v>
      </c>
      <c r="P12" s="65">
        <v>32</v>
      </c>
      <c r="Q12" s="63">
        <v>32</v>
      </c>
      <c r="R12" s="63">
        <v>0</v>
      </c>
      <c r="S12" s="63">
        <v>111</v>
      </c>
      <c r="T12" s="63">
        <v>27</v>
      </c>
      <c r="U12" s="64">
        <f t="shared" si="5"/>
        <v>0</v>
      </c>
      <c r="V12" s="66">
        <f t="shared" si="0"/>
        <v>0.4576271186440678</v>
      </c>
      <c r="W12" s="64">
        <f t="shared" si="7"/>
        <v>1</v>
      </c>
      <c r="X12" s="67">
        <f t="shared" si="6"/>
        <v>0.5423728813559322</v>
      </c>
    </row>
    <row r="13" spans="3:24" s="30" customFormat="1" ht="37.799999999999997" customHeight="1" x14ac:dyDescent="0.3">
      <c r="E13" s="68">
        <v>0.9</v>
      </c>
      <c r="F13" s="69" t="s">
        <v>20</v>
      </c>
      <c r="G13" s="69">
        <v>10</v>
      </c>
      <c r="H13" s="69">
        <v>10</v>
      </c>
      <c r="I13" s="69">
        <v>0</v>
      </c>
      <c r="J13" s="69">
        <v>218</v>
      </c>
      <c r="K13" s="69">
        <v>21</v>
      </c>
      <c r="L13" s="70">
        <f t="shared" si="1"/>
        <v>0</v>
      </c>
      <c r="M13" s="70">
        <f t="shared" si="2"/>
        <v>0.67741935483870963</v>
      </c>
      <c r="N13" s="70">
        <f t="shared" si="3"/>
        <v>1</v>
      </c>
      <c r="O13" s="70">
        <f t="shared" si="4"/>
        <v>0.32258064516129031</v>
      </c>
      <c r="P13" s="71">
        <v>12</v>
      </c>
      <c r="Q13" s="69">
        <v>12</v>
      </c>
      <c r="R13" s="69">
        <v>0</v>
      </c>
      <c r="S13" s="69">
        <v>933</v>
      </c>
      <c r="T13" s="69">
        <v>47</v>
      </c>
      <c r="U13" s="70">
        <f t="shared" si="5"/>
        <v>0</v>
      </c>
      <c r="V13" s="72">
        <f t="shared" si="0"/>
        <v>0.79661016949152541</v>
      </c>
      <c r="W13" s="70">
        <f t="shared" si="7"/>
        <v>1</v>
      </c>
      <c r="X13" s="73">
        <f>Q13/(Q13+T13)</f>
        <v>0.20338983050847459</v>
      </c>
    </row>
    <row r="14" spans="3:24" s="30" customFormat="1" ht="37.799999999999997" customHeight="1" x14ac:dyDescent="0.3">
      <c r="E14" s="74">
        <v>0.9</v>
      </c>
      <c r="F14" s="75" t="s">
        <v>14</v>
      </c>
      <c r="G14" s="75">
        <v>9</v>
      </c>
      <c r="H14" s="75">
        <v>9</v>
      </c>
      <c r="I14" s="75">
        <v>0</v>
      </c>
      <c r="J14" s="75">
        <v>37</v>
      </c>
      <c r="K14" s="75">
        <v>22</v>
      </c>
      <c r="L14" s="76">
        <f t="shared" si="1"/>
        <v>0</v>
      </c>
      <c r="M14" s="76">
        <f t="shared" si="2"/>
        <v>0.70967741935483875</v>
      </c>
      <c r="N14" s="76">
        <f t="shared" si="3"/>
        <v>1</v>
      </c>
      <c r="O14" s="76">
        <f t="shared" si="4"/>
        <v>0.29032258064516131</v>
      </c>
      <c r="P14" s="77">
        <v>11</v>
      </c>
      <c r="Q14" s="75">
        <v>11</v>
      </c>
      <c r="R14" s="75">
        <v>0</v>
      </c>
      <c r="S14" s="75">
        <v>111</v>
      </c>
      <c r="T14" s="75">
        <v>48</v>
      </c>
      <c r="U14" s="76">
        <f t="shared" si="5"/>
        <v>0</v>
      </c>
      <c r="V14" s="76">
        <f t="shared" si="0"/>
        <v>0.81355932203389836</v>
      </c>
      <c r="W14" s="76">
        <f t="shared" si="7"/>
        <v>1</v>
      </c>
      <c r="X14" s="78">
        <f>Q14/(Q14+T14)</f>
        <v>0.1864406779661017</v>
      </c>
    </row>
    <row r="15" spans="3:24" ht="23.4" x14ac:dyDescent="0.45">
      <c r="E15" s="31"/>
      <c r="F15" s="32"/>
      <c r="G15" s="33"/>
      <c r="H15" s="33"/>
      <c r="I15" s="33"/>
      <c r="J15" s="33"/>
      <c r="K15" s="33"/>
      <c r="L15" s="33"/>
      <c r="M15" s="33"/>
      <c r="N15" s="33"/>
      <c r="O15" s="31"/>
      <c r="P15" s="34"/>
      <c r="Q15" s="34"/>
      <c r="R15" s="34"/>
      <c r="S15" s="34"/>
      <c r="T15" s="34"/>
      <c r="U15" s="34"/>
      <c r="V15" s="34"/>
      <c r="W15" s="34"/>
      <c r="X15" s="34"/>
    </row>
    <row r="16" spans="3:24" x14ac:dyDescent="0.3">
      <c r="E16" s="2"/>
      <c r="F16" s="29"/>
      <c r="G16" s="2"/>
      <c r="H16" s="2"/>
      <c r="I16" s="18"/>
      <c r="J16" s="18"/>
      <c r="K16" s="18"/>
      <c r="L16" s="18"/>
      <c r="M16" s="18"/>
      <c r="N16" s="18"/>
      <c r="O16" s="2"/>
    </row>
    <row r="17" spans="3:25" x14ac:dyDescent="0.3">
      <c r="E17" s="2"/>
      <c r="F17" s="29"/>
      <c r="G17" s="2"/>
      <c r="H17" t="s">
        <v>15</v>
      </c>
      <c r="I17" s="18"/>
      <c r="J17" s="18"/>
      <c r="K17" s="18"/>
      <c r="L17" s="18"/>
      <c r="M17" s="18"/>
      <c r="N17" s="18"/>
      <c r="O17" s="2"/>
      <c r="R17" t="s">
        <v>16</v>
      </c>
    </row>
    <row r="18" spans="3:25" x14ac:dyDescent="0.3">
      <c r="H18">
        <f>SUM(G22:K22)</f>
        <v>297</v>
      </c>
      <c r="R18">
        <f>SUM(Q22:T22)</f>
        <v>1067</v>
      </c>
    </row>
    <row r="20" spans="3:25" ht="25.8" x14ac:dyDescent="0.5">
      <c r="E20" s="90" t="s">
        <v>0</v>
      </c>
      <c r="F20" s="92" t="s">
        <v>1</v>
      </c>
      <c r="G20" s="93"/>
      <c r="H20" s="93"/>
      <c r="I20" s="93"/>
      <c r="J20" s="93"/>
      <c r="K20" s="93"/>
      <c r="L20" s="93"/>
      <c r="M20" s="93"/>
      <c r="N20" s="93"/>
      <c r="O20" s="94"/>
      <c r="P20" s="95" t="s">
        <v>2</v>
      </c>
      <c r="Q20" s="96"/>
      <c r="R20" s="96"/>
      <c r="S20" s="96"/>
      <c r="T20" s="96"/>
      <c r="U20" s="96"/>
      <c r="V20" s="96"/>
      <c r="W20" s="96"/>
      <c r="X20" s="97"/>
    </row>
    <row r="21" spans="3:25" ht="15.6" x14ac:dyDescent="0.3">
      <c r="C21" t="s">
        <v>17</v>
      </c>
      <c r="D21" t="s">
        <v>18</v>
      </c>
      <c r="E21" s="91"/>
      <c r="F21" s="4" t="s">
        <v>3</v>
      </c>
      <c r="G21" s="4" t="s">
        <v>19</v>
      </c>
      <c r="H21" s="4" t="s">
        <v>5</v>
      </c>
      <c r="I21" s="4" t="s">
        <v>6</v>
      </c>
      <c r="J21" s="4" t="s">
        <v>7</v>
      </c>
      <c r="K21" s="4" t="s">
        <v>8</v>
      </c>
      <c r="L21" s="5" t="s">
        <v>9</v>
      </c>
      <c r="M21" s="5" t="s">
        <v>10</v>
      </c>
      <c r="N21" s="6" t="s">
        <v>11</v>
      </c>
      <c r="O21" s="7" t="s">
        <v>12</v>
      </c>
      <c r="P21" s="4" t="s">
        <v>19</v>
      </c>
      <c r="Q21" s="4" t="s">
        <v>5</v>
      </c>
      <c r="R21" s="4" t="s">
        <v>6</v>
      </c>
      <c r="S21" s="4" t="s">
        <v>7</v>
      </c>
      <c r="T21" s="4" t="s">
        <v>8</v>
      </c>
      <c r="U21" s="5" t="s">
        <v>9</v>
      </c>
      <c r="V21" s="5" t="s">
        <v>10</v>
      </c>
      <c r="W21" s="5" t="s">
        <v>11</v>
      </c>
      <c r="X21" s="7" t="s">
        <v>12</v>
      </c>
    </row>
    <row r="22" spans="3:25" x14ac:dyDescent="0.3">
      <c r="C22">
        <f>H22+I22</f>
        <v>39</v>
      </c>
      <c r="D22">
        <f>Q22+R22</f>
        <v>133</v>
      </c>
      <c r="E22" s="8">
        <v>0.5</v>
      </c>
      <c r="F22" s="9" t="s">
        <v>13</v>
      </c>
      <c r="G22" s="9">
        <v>39</v>
      </c>
      <c r="H22" s="9">
        <v>30</v>
      </c>
      <c r="I22" s="9">
        <v>9</v>
      </c>
      <c r="J22" s="9">
        <v>218</v>
      </c>
      <c r="K22" s="9">
        <v>1</v>
      </c>
      <c r="L22" s="10">
        <f>I22/(I22+J22)</f>
        <v>3.9647577092511016E-2</v>
      </c>
      <c r="M22" s="10">
        <f>K22/(K22+H22)</f>
        <v>3.2258064516129031E-2</v>
      </c>
      <c r="N22" s="10">
        <f>H22/(H22+I22)</f>
        <v>0.76923076923076927</v>
      </c>
      <c r="O22" s="10">
        <f>H22/(H22+K22)</f>
        <v>0.967741935483871</v>
      </c>
      <c r="P22" s="11">
        <v>133</v>
      </c>
      <c r="Q22" s="9">
        <v>58</v>
      </c>
      <c r="R22" s="9">
        <v>75</v>
      </c>
      <c r="S22" s="9">
        <v>933</v>
      </c>
      <c r="T22" s="9">
        <v>1</v>
      </c>
      <c r="U22" s="10">
        <f>R22/(R22+S22)</f>
        <v>7.4404761904761904E-2</v>
      </c>
      <c r="V22" s="12">
        <f>T22/(T22+Q22)</f>
        <v>1.6949152542372881E-2</v>
      </c>
      <c r="W22" s="10">
        <f>Q22/(Q22+R22)</f>
        <v>0.43609022556390975</v>
      </c>
      <c r="X22" s="13">
        <f>Q22/(Q22+T22)</f>
        <v>0.98305084745762716</v>
      </c>
      <c r="Y22">
        <f>SUM(Q22:T22)</f>
        <v>1067</v>
      </c>
    </row>
    <row r="23" spans="3:25" x14ac:dyDescent="0.3">
      <c r="C23">
        <f t="shared" ref="C23:C31" si="8">H23+I23</f>
        <v>33</v>
      </c>
      <c r="D23">
        <f t="shared" ref="D23:D31" si="9">Q23+R23</f>
        <v>95</v>
      </c>
      <c r="E23" s="8">
        <v>0.6</v>
      </c>
      <c r="F23" s="9" t="s">
        <v>13</v>
      </c>
      <c r="G23" s="9">
        <v>32</v>
      </c>
      <c r="H23" s="9">
        <v>30</v>
      </c>
      <c r="I23" s="9">
        <v>3</v>
      </c>
      <c r="J23" s="9">
        <v>218</v>
      </c>
      <c r="K23" s="9">
        <v>1</v>
      </c>
      <c r="L23" s="20">
        <f t="shared" ref="L23:L31" si="10">I23/(I23+J23)</f>
        <v>1.3574660633484163E-2</v>
      </c>
      <c r="M23" s="10">
        <f t="shared" ref="M23:M31" si="11">K23/(K23+H23)</f>
        <v>3.2258064516129031E-2</v>
      </c>
      <c r="N23" s="10">
        <f t="shared" ref="N23:N31" si="12">H23/(H23+I23)</f>
        <v>0.90909090909090906</v>
      </c>
      <c r="O23" s="10">
        <f t="shared" ref="O23:O31" si="13">H23/(H23+K23)</f>
        <v>0.967741935483871</v>
      </c>
      <c r="P23" s="21">
        <v>95</v>
      </c>
      <c r="Q23" s="9">
        <v>53</v>
      </c>
      <c r="R23" s="9">
        <v>42</v>
      </c>
      <c r="S23" s="9">
        <v>933</v>
      </c>
      <c r="T23" s="9">
        <v>6</v>
      </c>
      <c r="U23" s="10">
        <f t="shared" ref="U23:U31" si="14">R23/(R23+S23)</f>
        <v>4.3076923076923075E-2</v>
      </c>
      <c r="V23" s="22">
        <f>T23/(T23+Q23)</f>
        <v>0.10169491525423729</v>
      </c>
      <c r="W23" s="10">
        <f t="shared" ref="W23:W31" si="15">Q23/(Q23+R23)</f>
        <v>0.55789473684210522</v>
      </c>
      <c r="X23" s="23">
        <f t="shared" ref="X23:X31" si="16">Q23/(Q23+T23)</f>
        <v>0.89830508474576276</v>
      </c>
      <c r="Y23">
        <f>SUM(Q23:T23)</f>
        <v>1034</v>
      </c>
    </row>
    <row r="24" spans="3:25" x14ac:dyDescent="0.3">
      <c r="C24">
        <f t="shared" si="8"/>
        <v>30</v>
      </c>
      <c r="D24">
        <f t="shared" si="9"/>
        <v>69</v>
      </c>
      <c r="E24" s="8">
        <v>0.7</v>
      </c>
      <c r="F24" s="9" t="s">
        <v>13</v>
      </c>
      <c r="G24" s="9">
        <v>31</v>
      </c>
      <c r="H24" s="9">
        <v>29</v>
      </c>
      <c r="I24" s="9">
        <v>1</v>
      </c>
      <c r="J24" s="9">
        <v>218</v>
      </c>
      <c r="K24" s="9">
        <v>2</v>
      </c>
      <c r="L24" s="20">
        <f t="shared" si="10"/>
        <v>4.5662100456621002E-3</v>
      </c>
      <c r="M24" s="10">
        <f t="shared" si="11"/>
        <v>6.4516129032258063E-2</v>
      </c>
      <c r="N24" s="10">
        <f t="shared" si="12"/>
        <v>0.96666666666666667</v>
      </c>
      <c r="O24" s="10">
        <f t="shared" si="13"/>
        <v>0.93548387096774188</v>
      </c>
      <c r="P24" s="21">
        <v>69</v>
      </c>
      <c r="Q24" s="9">
        <v>46</v>
      </c>
      <c r="R24" s="9">
        <v>23</v>
      </c>
      <c r="S24" s="9">
        <v>933</v>
      </c>
      <c r="T24" s="9">
        <v>13</v>
      </c>
      <c r="U24" s="10">
        <f t="shared" si="14"/>
        <v>2.4058577405857741E-2</v>
      </c>
      <c r="V24" s="22">
        <f t="shared" ref="V24:V31" si="17">T24/(T24+Q24)</f>
        <v>0.22033898305084745</v>
      </c>
      <c r="W24" s="10">
        <f t="shared" si="15"/>
        <v>0.66666666666666663</v>
      </c>
      <c r="X24" s="23">
        <f t="shared" si="16"/>
        <v>0.77966101694915257</v>
      </c>
    </row>
    <row r="25" spans="3:25" x14ac:dyDescent="0.3">
      <c r="C25">
        <f t="shared" si="8"/>
        <v>23</v>
      </c>
      <c r="D25">
        <f t="shared" si="9"/>
        <v>39</v>
      </c>
      <c r="E25" s="8">
        <v>0.8</v>
      </c>
      <c r="F25" s="9" t="s">
        <v>13</v>
      </c>
      <c r="G25" s="9">
        <v>23</v>
      </c>
      <c r="H25" s="9">
        <v>23</v>
      </c>
      <c r="I25" s="9">
        <v>0</v>
      </c>
      <c r="J25" s="9">
        <v>218</v>
      </c>
      <c r="K25" s="9">
        <v>8</v>
      </c>
      <c r="L25" s="10">
        <f t="shared" si="10"/>
        <v>0</v>
      </c>
      <c r="M25" s="10">
        <f t="shared" si="11"/>
        <v>0.25806451612903225</v>
      </c>
      <c r="N25" s="10">
        <f t="shared" si="12"/>
        <v>1</v>
      </c>
      <c r="O25" s="10">
        <f t="shared" si="13"/>
        <v>0.74193548387096775</v>
      </c>
      <c r="P25" s="21">
        <v>39</v>
      </c>
      <c r="Q25" s="9">
        <v>35</v>
      </c>
      <c r="R25" s="9">
        <v>4</v>
      </c>
      <c r="S25" s="9">
        <v>933</v>
      </c>
      <c r="T25" s="9">
        <v>24</v>
      </c>
      <c r="U25" s="10">
        <f t="shared" si="14"/>
        <v>4.2689434364994666E-3</v>
      </c>
      <c r="V25" s="22">
        <f t="shared" si="17"/>
        <v>0.40677966101694918</v>
      </c>
      <c r="W25" s="10">
        <f t="shared" si="15"/>
        <v>0.89743589743589747</v>
      </c>
      <c r="X25" s="23">
        <f t="shared" si="16"/>
        <v>0.59322033898305082</v>
      </c>
    </row>
    <row r="26" spans="3:25" x14ac:dyDescent="0.3">
      <c r="C26">
        <f t="shared" si="8"/>
        <v>10</v>
      </c>
      <c r="D26">
        <f t="shared" si="9"/>
        <v>12</v>
      </c>
      <c r="E26" s="8">
        <v>0.9</v>
      </c>
      <c r="F26" s="9" t="s">
        <v>13</v>
      </c>
      <c r="G26" s="9">
        <v>10</v>
      </c>
      <c r="H26" s="9">
        <v>10</v>
      </c>
      <c r="I26" s="9">
        <v>0</v>
      </c>
      <c r="J26" s="9">
        <v>218</v>
      </c>
      <c r="K26" s="9">
        <v>21</v>
      </c>
      <c r="L26" s="10">
        <f t="shared" si="10"/>
        <v>0</v>
      </c>
      <c r="M26" s="10">
        <f t="shared" si="11"/>
        <v>0.67741935483870963</v>
      </c>
      <c r="N26" s="10">
        <f t="shared" si="12"/>
        <v>1</v>
      </c>
      <c r="O26" s="10">
        <f t="shared" si="13"/>
        <v>0.32258064516129031</v>
      </c>
      <c r="P26" s="21">
        <v>12</v>
      </c>
      <c r="Q26" s="9">
        <v>12</v>
      </c>
      <c r="R26" s="9">
        <v>0</v>
      </c>
      <c r="S26" s="9">
        <v>933</v>
      </c>
      <c r="T26" s="9">
        <v>47</v>
      </c>
      <c r="U26" s="10">
        <f t="shared" si="14"/>
        <v>0</v>
      </c>
      <c r="V26" s="22">
        <f t="shared" si="17"/>
        <v>0.79661016949152541</v>
      </c>
      <c r="W26" s="10">
        <f t="shared" si="15"/>
        <v>1</v>
      </c>
      <c r="X26" s="23">
        <f>Q26/(Q26+T26)</f>
        <v>0.20338983050847459</v>
      </c>
    </row>
    <row r="27" spans="3:25" x14ac:dyDescent="0.3">
      <c r="C27">
        <f t="shared" si="8"/>
        <v>26</v>
      </c>
      <c r="D27">
        <f t="shared" si="9"/>
        <v>54</v>
      </c>
      <c r="E27" s="14">
        <v>0.5</v>
      </c>
      <c r="F27" s="15" t="s">
        <v>14</v>
      </c>
      <c r="G27" s="15">
        <v>26</v>
      </c>
      <c r="H27" s="15">
        <v>26</v>
      </c>
      <c r="I27" s="15">
        <v>0</v>
      </c>
      <c r="J27" s="15">
        <v>37</v>
      </c>
      <c r="K27" s="15">
        <v>1</v>
      </c>
      <c r="L27" s="16">
        <f t="shared" si="10"/>
        <v>0</v>
      </c>
      <c r="M27" s="16">
        <f>K27/(K27+H27)</f>
        <v>3.7037037037037035E-2</v>
      </c>
      <c r="N27" s="16">
        <f t="shared" si="12"/>
        <v>1</v>
      </c>
      <c r="O27" s="16">
        <f t="shared" si="13"/>
        <v>0.96296296296296291</v>
      </c>
      <c r="P27" s="17">
        <v>54</v>
      </c>
      <c r="Q27" s="15">
        <v>54</v>
      </c>
      <c r="R27" s="15">
        <v>0</v>
      </c>
      <c r="S27" s="15">
        <v>111</v>
      </c>
      <c r="T27" s="15">
        <v>1</v>
      </c>
      <c r="U27" s="16">
        <f t="shared" si="14"/>
        <v>0</v>
      </c>
      <c r="V27" s="18">
        <f t="shared" si="17"/>
        <v>1.8181818181818181E-2</v>
      </c>
      <c r="W27" s="16">
        <f t="shared" si="15"/>
        <v>1</v>
      </c>
      <c r="X27" s="19">
        <f t="shared" si="16"/>
        <v>0.98181818181818181</v>
      </c>
    </row>
    <row r="28" spans="3:25" x14ac:dyDescent="0.3">
      <c r="C28">
        <f t="shared" si="8"/>
        <v>26</v>
      </c>
      <c r="D28">
        <f t="shared" si="9"/>
        <v>49</v>
      </c>
      <c r="E28" s="14">
        <v>0.6</v>
      </c>
      <c r="F28" s="15" t="s">
        <v>14</v>
      </c>
      <c r="G28" s="15">
        <v>26</v>
      </c>
      <c r="H28" s="15">
        <v>26</v>
      </c>
      <c r="I28" s="15">
        <v>0</v>
      </c>
      <c r="J28" s="15">
        <v>37</v>
      </c>
      <c r="K28" s="15">
        <v>1</v>
      </c>
      <c r="L28" s="16">
        <f t="shared" si="10"/>
        <v>0</v>
      </c>
      <c r="M28" s="16">
        <f t="shared" si="11"/>
        <v>3.7037037037037035E-2</v>
      </c>
      <c r="N28" s="16">
        <f t="shared" si="12"/>
        <v>1</v>
      </c>
      <c r="O28" s="16">
        <f t="shared" si="13"/>
        <v>0.96296296296296291</v>
      </c>
      <c r="P28" s="17">
        <v>49</v>
      </c>
      <c r="Q28" s="15">
        <v>49</v>
      </c>
      <c r="R28" s="15">
        <v>0</v>
      </c>
      <c r="S28" s="15">
        <v>111</v>
      </c>
      <c r="T28" s="15">
        <v>6</v>
      </c>
      <c r="U28" s="16">
        <f t="shared" si="14"/>
        <v>0</v>
      </c>
      <c r="V28" s="18">
        <f t="shared" si="17"/>
        <v>0.10909090909090909</v>
      </c>
      <c r="W28" s="16">
        <f t="shared" si="15"/>
        <v>1</v>
      </c>
      <c r="X28" s="19">
        <f t="shared" si="16"/>
        <v>0.89090909090909087</v>
      </c>
    </row>
    <row r="29" spans="3:25" x14ac:dyDescent="0.3">
      <c r="C29">
        <f t="shared" si="8"/>
        <v>25</v>
      </c>
      <c r="D29">
        <f t="shared" si="9"/>
        <v>42</v>
      </c>
      <c r="E29" s="14">
        <v>0.7</v>
      </c>
      <c r="F29" s="15" t="s">
        <v>14</v>
      </c>
      <c r="G29" s="15">
        <v>25</v>
      </c>
      <c r="H29" s="15">
        <v>25</v>
      </c>
      <c r="I29" s="15">
        <v>0</v>
      </c>
      <c r="J29" s="15">
        <v>37</v>
      </c>
      <c r="K29" s="15">
        <v>2</v>
      </c>
      <c r="L29" s="16">
        <f t="shared" si="10"/>
        <v>0</v>
      </c>
      <c r="M29" s="16">
        <f t="shared" si="11"/>
        <v>7.407407407407407E-2</v>
      </c>
      <c r="N29" s="16">
        <f t="shared" si="12"/>
        <v>1</v>
      </c>
      <c r="O29" s="16">
        <f t="shared" si="13"/>
        <v>0.92592592592592593</v>
      </c>
      <c r="P29" s="17">
        <v>42</v>
      </c>
      <c r="Q29" s="15">
        <v>42</v>
      </c>
      <c r="R29" s="15">
        <v>0</v>
      </c>
      <c r="S29" s="15">
        <v>111</v>
      </c>
      <c r="T29" s="15">
        <v>13</v>
      </c>
      <c r="U29" s="16">
        <f t="shared" si="14"/>
        <v>0</v>
      </c>
      <c r="V29" s="18">
        <f t="shared" si="17"/>
        <v>0.23636363636363636</v>
      </c>
      <c r="W29" s="16">
        <f t="shared" si="15"/>
        <v>1</v>
      </c>
      <c r="X29" s="19">
        <f t="shared" si="16"/>
        <v>0.76363636363636367</v>
      </c>
    </row>
    <row r="30" spans="3:25" x14ac:dyDescent="0.3">
      <c r="C30">
        <f t="shared" si="8"/>
        <v>21</v>
      </c>
      <c r="D30">
        <f t="shared" si="9"/>
        <v>33</v>
      </c>
      <c r="E30" s="14">
        <v>0.8</v>
      </c>
      <c r="F30" s="15" t="s">
        <v>14</v>
      </c>
      <c r="G30" s="15">
        <v>21</v>
      </c>
      <c r="H30" s="15">
        <v>21</v>
      </c>
      <c r="I30" s="15">
        <v>0</v>
      </c>
      <c r="J30" s="15">
        <v>37</v>
      </c>
      <c r="K30" s="15">
        <v>6</v>
      </c>
      <c r="L30" s="16">
        <f t="shared" si="10"/>
        <v>0</v>
      </c>
      <c r="M30" s="16">
        <f t="shared" si="11"/>
        <v>0.22222222222222221</v>
      </c>
      <c r="N30" s="16">
        <f t="shared" si="12"/>
        <v>1</v>
      </c>
      <c r="O30" s="16">
        <f t="shared" si="13"/>
        <v>0.77777777777777779</v>
      </c>
      <c r="P30" s="17">
        <v>33</v>
      </c>
      <c r="Q30" s="15">
        <v>33</v>
      </c>
      <c r="R30" s="15">
        <v>0</v>
      </c>
      <c r="S30" s="15">
        <v>111</v>
      </c>
      <c r="T30" s="15">
        <v>22</v>
      </c>
      <c r="U30" s="16">
        <f t="shared" si="14"/>
        <v>0</v>
      </c>
      <c r="V30" s="18">
        <f t="shared" si="17"/>
        <v>0.4</v>
      </c>
      <c r="W30" s="16">
        <f t="shared" si="15"/>
        <v>1</v>
      </c>
      <c r="X30" s="19">
        <f t="shared" si="16"/>
        <v>0.6</v>
      </c>
    </row>
    <row r="31" spans="3:25" x14ac:dyDescent="0.3">
      <c r="C31">
        <f t="shared" si="8"/>
        <v>9</v>
      </c>
      <c r="D31">
        <f t="shared" si="9"/>
        <v>11</v>
      </c>
      <c r="E31" s="24">
        <v>0.9</v>
      </c>
      <c r="F31" s="25" t="s">
        <v>14</v>
      </c>
      <c r="G31" s="25">
        <v>9</v>
      </c>
      <c r="H31" s="25">
        <v>9</v>
      </c>
      <c r="I31" s="25">
        <v>0</v>
      </c>
      <c r="J31" s="25">
        <v>37</v>
      </c>
      <c r="K31" s="25">
        <v>18</v>
      </c>
      <c r="L31" s="26">
        <f t="shared" si="10"/>
        <v>0</v>
      </c>
      <c r="M31" s="26">
        <f t="shared" si="11"/>
        <v>0.66666666666666663</v>
      </c>
      <c r="N31" s="26">
        <f t="shared" si="12"/>
        <v>1</v>
      </c>
      <c r="O31" s="26">
        <f t="shared" si="13"/>
        <v>0.33333333333333331</v>
      </c>
      <c r="P31" s="27">
        <v>11</v>
      </c>
      <c r="Q31" s="25">
        <v>11</v>
      </c>
      <c r="R31" s="25">
        <v>0</v>
      </c>
      <c r="S31" s="25">
        <v>111</v>
      </c>
      <c r="T31" s="25">
        <v>44</v>
      </c>
      <c r="U31" s="26">
        <f t="shared" si="14"/>
        <v>0</v>
      </c>
      <c r="V31" s="26">
        <f t="shared" si="17"/>
        <v>0.8</v>
      </c>
      <c r="W31" s="26">
        <f t="shared" si="15"/>
        <v>1</v>
      </c>
      <c r="X31" s="28">
        <f t="shared" si="16"/>
        <v>0.2</v>
      </c>
    </row>
  </sheetData>
  <mergeCells count="10">
    <mergeCell ref="C4:C8"/>
    <mergeCell ref="D5:D9"/>
    <mergeCell ref="E20:E21"/>
    <mergeCell ref="F20:O20"/>
    <mergeCell ref="P20:X20"/>
    <mergeCell ref="F2:I2"/>
    <mergeCell ref="J2:M2"/>
    <mergeCell ref="E3:E4"/>
    <mergeCell ref="F3:O3"/>
    <mergeCell ref="P3:X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1F4F-414D-49C3-BC56-59C1AD76B93C}">
  <dimension ref="C2:Y31"/>
  <sheetViews>
    <sheetView topLeftCell="E13" zoomScale="120" zoomScaleNormal="120" workbookViewId="0">
      <selection activeCell="G4" sqref="G4"/>
    </sheetView>
  </sheetViews>
  <sheetFormatPr defaultRowHeight="14.4" x14ac:dyDescent="0.3"/>
  <cols>
    <col min="1" max="2" width="20.21875" customWidth="1"/>
    <col min="3" max="3" width="16.77734375" customWidth="1"/>
    <col min="4" max="4" width="16.88671875" customWidth="1"/>
    <col min="5" max="5" width="13.33203125" bestFit="1" customWidth="1"/>
    <col min="6" max="6" width="9.33203125" customWidth="1"/>
    <col min="7" max="7" width="10" customWidth="1"/>
    <col min="8" max="11" width="5.5546875" customWidth="1"/>
    <col min="12" max="12" width="11.6640625" customWidth="1"/>
    <col min="13" max="13" width="7.21875" customWidth="1"/>
    <col min="14" max="14" width="10" customWidth="1"/>
    <col min="16" max="16" width="9.77734375" customWidth="1"/>
  </cols>
  <sheetData>
    <row r="2" spans="3:24" ht="46.8" customHeight="1" x14ac:dyDescent="0.55000000000000004">
      <c r="E2" s="1"/>
      <c r="F2" s="79"/>
      <c r="G2" s="79"/>
      <c r="H2" s="79"/>
      <c r="I2" s="79"/>
      <c r="J2" s="79"/>
      <c r="K2" s="79"/>
      <c r="L2" s="79"/>
      <c r="M2" s="79"/>
    </row>
    <row r="3" spans="3:24" ht="37.200000000000003" customHeight="1" x14ac:dyDescent="0.5">
      <c r="D3" s="2"/>
      <c r="E3" s="90" t="s">
        <v>0</v>
      </c>
      <c r="F3" s="92" t="s">
        <v>1</v>
      </c>
      <c r="G3" s="93"/>
      <c r="H3" s="93"/>
      <c r="I3" s="93"/>
      <c r="J3" s="93"/>
      <c r="K3" s="93"/>
      <c r="L3" s="93"/>
      <c r="M3" s="93"/>
      <c r="N3" s="93"/>
      <c r="O3" s="94"/>
      <c r="P3" s="95" t="s">
        <v>2</v>
      </c>
      <c r="Q3" s="96"/>
      <c r="R3" s="96"/>
      <c r="S3" s="96"/>
      <c r="T3" s="96"/>
      <c r="U3" s="96"/>
      <c r="V3" s="96"/>
      <c r="W3" s="96"/>
      <c r="X3" s="97"/>
    </row>
    <row r="4" spans="3:24" ht="31.8" customHeight="1" x14ac:dyDescent="0.3">
      <c r="C4" s="88"/>
      <c r="D4" s="3"/>
      <c r="E4" s="91"/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5" t="s">
        <v>9</v>
      </c>
      <c r="M4" s="5" t="s">
        <v>10</v>
      </c>
      <c r="N4" s="6" t="s">
        <v>11</v>
      </c>
      <c r="O4" s="7" t="s">
        <v>12</v>
      </c>
      <c r="P4" s="4" t="s">
        <v>4</v>
      </c>
      <c r="Q4" s="4" t="s">
        <v>5</v>
      </c>
      <c r="R4" s="4" t="s">
        <v>6</v>
      </c>
      <c r="S4" s="4" t="s">
        <v>7</v>
      </c>
      <c r="T4" s="4" t="s">
        <v>8</v>
      </c>
      <c r="U4" s="5" t="s">
        <v>9</v>
      </c>
      <c r="V4" s="5" t="s">
        <v>10</v>
      </c>
      <c r="W4" s="5" t="s">
        <v>11</v>
      </c>
      <c r="X4" s="7" t="s">
        <v>12</v>
      </c>
    </row>
    <row r="5" spans="3:24" x14ac:dyDescent="0.3">
      <c r="C5" s="88"/>
      <c r="D5" s="89"/>
      <c r="E5" s="8">
        <v>0.5</v>
      </c>
      <c r="F5" s="9" t="s">
        <v>13</v>
      </c>
      <c r="G5" s="9">
        <v>39</v>
      </c>
      <c r="H5" s="9">
        <v>30</v>
      </c>
      <c r="I5" s="9">
        <v>9</v>
      </c>
      <c r="J5" s="9">
        <v>218</v>
      </c>
      <c r="K5" s="9">
        <v>1</v>
      </c>
      <c r="L5" s="10">
        <f>I5/(I5+J5)</f>
        <v>3.9647577092511016E-2</v>
      </c>
      <c r="M5" s="10">
        <f>K5/(K5+H5)</f>
        <v>3.2258064516129031E-2</v>
      </c>
      <c r="N5" s="10">
        <f>H5/(H5+I5)</f>
        <v>0.76923076923076927</v>
      </c>
      <c r="O5" s="10">
        <f>H5/(H5+K5)</f>
        <v>0.967741935483871</v>
      </c>
      <c r="P5" s="11">
        <v>133</v>
      </c>
      <c r="Q5" s="9">
        <v>58</v>
      </c>
      <c r="R5" s="9">
        <v>75</v>
      </c>
      <c r="S5" s="9">
        <v>933</v>
      </c>
      <c r="T5" s="9">
        <v>1</v>
      </c>
      <c r="U5" s="10">
        <f>R5/(R5+S5)</f>
        <v>7.4404761904761904E-2</v>
      </c>
      <c r="V5" s="12">
        <f t="shared" ref="V5:V14" si="0">T5/(T5+Q5)</f>
        <v>1.6949152542372881E-2</v>
      </c>
      <c r="W5" s="10">
        <f>Q5/(Q5+R5)</f>
        <v>0.43609022556390975</v>
      </c>
      <c r="X5" s="13">
        <f>Q5/(Q5+T5)</f>
        <v>0.98305084745762716</v>
      </c>
    </row>
    <row r="6" spans="3:24" x14ac:dyDescent="0.3">
      <c r="C6" s="88"/>
      <c r="D6" s="89"/>
      <c r="E6" s="14">
        <v>0.5</v>
      </c>
      <c r="F6" s="15" t="s">
        <v>14</v>
      </c>
      <c r="G6" s="15">
        <v>26</v>
      </c>
      <c r="H6" s="15">
        <v>26</v>
      </c>
      <c r="I6" s="15">
        <v>0</v>
      </c>
      <c r="J6" s="15">
        <v>37</v>
      </c>
      <c r="K6" s="15">
        <v>1</v>
      </c>
      <c r="L6" s="16">
        <f t="shared" ref="L6:L14" si="1">I6/(I6+J6)</f>
        <v>0</v>
      </c>
      <c r="M6" s="16">
        <f t="shared" ref="M6:M14" si="2">K6/(K6+H6)</f>
        <v>3.7037037037037035E-2</v>
      </c>
      <c r="N6" s="16">
        <f t="shared" ref="N6:N14" si="3">H6/(H6+I6)</f>
        <v>1</v>
      </c>
      <c r="O6" s="16">
        <f t="shared" ref="O6:O14" si="4">H6/(H6+K6)</f>
        <v>0.96296296296296291</v>
      </c>
      <c r="P6" s="17">
        <v>54</v>
      </c>
      <c r="Q6" s="15">
        <v>54</v>
      </c>
      <c r="R6" s="15">
        <v>0</v>
      </c>
      <c r="S6" s="15">
        <v>111</v>
      </c>
      <c r="T6" s="15">
        <v>1</v>
      </c>
      <c r="U6" s="16">
        <f t="shared" ref="U6:U14" si="5">R6/(R6+S6)</f>
        <v>0</v>
      </c>
      <c r="V6" s="18">
        <f t="shared" si="0"/>
        <v>1.8181818181818181E-2</v>
      </c>
      <c r="W6" s="16">
        <f t="shared" ref="W6:W14" si="6">Q6/(Q6+R6)</f>
        <v>1</v>
      </c>
      <c r="X6" s="19">
        <f t="shared" ref="X6:X12" si="7">Q6/(Q6+T6)</f>
        <v>0.98181818181818181</v>
      </c>
    </row>
    <row r="7" spans="3:24" x14ac:dyDescent="0.3">
      <c r="C7" s="88"/>
      <c r="D7" s="89"/>
      <c r="E7" s="8">
        <v>0.6</v>
      </c>
      <c r="F7" s="9" t="s">
        <v>13</v>
      </c>
      <c r="G7" s="9">
        <v>32</v>
      </c>
      <c r="H7" s="9">
        <v>30</v>
      </c>
      <c r="I7" s="9">
        <v>3</v>
      </c>
      <c r="J7" s="9">
        <v>218</v>
      </c>
      <c r="K7" s="9">
        <v>1</v>
      </c>
      <c r="L7" s="20">
        <f t="shared" si="1"/>
        <v>1.3574660633484163E-2</v>
      </c>
      <c r="M7" s="10">
        <f t="shared" si="2"/>
        <v>3.2258064516129031E-2</v>
      </c>
      <c r="N7" s="10">
        <f t="shared" si="3"/>
        <v>0.90909090909090906</v>
      </c>
      <c r="O7" s="10">
        <f t="shared" si="4"/>
        <v>0.967741935483871</v>
      </c>
      <c r="P7" s="21">
        <v>95</v>
      </c>
      <c r="Q7" s="9">
        <v>53</v>
      </c>
      <c r="R7" s="9">
        <v>42</v>
      </c>
      <c r="S7" s="9">
        <v>933</v>
      </c>
      <c r="T7" s="9">
        <v>6</v>
      </c>
      <c r="U7" s="10">
        <f t="shared" si="5"/>
        <v>4.3076923076923075E-2</v>
      </c>
      <c r="V7" s="22">
        <f t="shared" si="0"/>
        <v>0.10169491525423729</v>
      </c>
      <c r="W7" s="10">
        <f t="shared" si="6"/>
        <v>0.55789473684210522</v>
      </c>
      <c r="X7" s="23">
        <f t="shared" si="7"/>
        <v>0.89830508474576276</v>
      </c>
    </row>
    <row r="8" spans="3:24" x14ac:dyDescent="0.3">
      <c r="C8" s="88"/>
      <c r="D8" s="89"/>
      <c r="E8" s="14">
        <v>0.6</v>
      </c>
      <c r="F8" s="15" t="s">
        <v>14</v>
      </c>
      <c r="G8" s="15">
        <v>26</v>
      </c>
      <c r="H8" s="15">
        <v>26</v>
      </c>
      <c r="I8" s="15">
        <v>0</v>
      </c>
      <c r="J8" s="15">
        <v>37</v>
      </c>
      <c r="K8" s="15">
        <v>1</v>
      </c>
      <c r="L8" s="16">
        <f t="shared" si="1"/>
        <v>0</v>
      </c>
      <c r="M8" s="16">
        <f t="shared" si="2"/>
        <v>3.7037037037037035E-2</v>
      </c>
      <c r="N8" s="16">
        <f t="shared" si="3"/>
        <v>1</v>
      </c>
      <c r="O8" s="16">
        <f t="shared" si="4"/>
        <v>0.96296296296296291</v>
      </c>
      <c r="P8" s="17">
        <v>49</v>
      </c>
      <c r="Q8" s="15">
        <v>49</v>
      </c>
      <c r="R8" s="15">
        <v>0</v>
      </c>
      <c r="S8" s="15">
        <v>111</v>
      </c>
      <c r="T8" s="15">
        <v>6</v>
      </c>
      <c r="U8" s="16">
        <f t="shared" si="5"/>
        <v>0</v>
      </c>
      <c r="V8" s="18">
        <f t="shared" si="0"/>
        <v>0.10909090909090909</v>
      </c>
      <c r="W8" s="16">
        <f t="shared" si="6"/>
        <v>1</v>
      </c>
      <c r="X8" s="19">
        <f t="shared" si="7"/>
        <v>0.89090909090909087</v>
      </c>
    </row>
    <row r="9" spans="3:24" x14ac:dyDescent="0.3">
      <c r="D9" s="89"/>
      <c r="E9" s="8">
        <v>0.7</v>
      </c>
      <c r="F9" s="9" t="s">
        <v>13</v>
      </c>
      <c r="G9" s="9">
        <v>31</v>
      </c>
      <c r="H9" s="9">
        <v>29</v>
      </c>
      <c r="I9" s="9">
        <v>1</v>
      </c>
      <c r="J9" s="9">
        <v>218</v>
      </c>
      <c r="K9" s="9">
        <v>2</v>
      </c>
      <c r="L9" s="20">
        <f t="shared" si="1"/>
        <v>4.5662100456621002E-3</v>
      </c>
      <c r="M9" s="10">
        <f t="shared" si="2"/>
        <v>6.4516129032258063E-2</v>
      </c>
      <c r="N9" s="10">
        <f t="shared" si="3"/>
        <v>0.96666666666666667</v>
      </c>
      <c r="O9" s="10">
        <f t="shared" si="4"/>
        <v>0.93548387096774188</v>
      </c>
      <c r="P9" s="21">
        <v>69</v>
      </c>
      <c r="Q9" s="9">
        <v>46</v>
      </c>
      <c r="R9" s="9">
        <v>23</v>
      </c>
      <c r="S9" s="9">
        <v>933</v>
      </c>
      <c r="T9" s="9">
        <v>13</v>
      </c>
      <c r="U9" s="10">
        <f t="shared" si="5"/>
        <v>2.4058577405857741E-2</v>
      </c>
      <c r="V9" s="22">
        <f t="shared" si="0"/>
        <v>0.22033898305084745</v>
      </c>
      <c r="W9" s="10">
        <f t="shared" si="6"/>
        <v>0.66666666666666663</v>
      </c>
      <c r="X9" s="23">
        <f t="shared" si="7"/>
        <v>0.77966101694915257</v>
      </c>
    </row>
    <row r="10" spans="3:24" x14ac:dyDescent="0.3">
      <c r="E10" s="14">
        <v>0.7</v>
      </c>
      <c r="F10" s="15" t="s">
        <v>14</v>
      </c>
      <c r="G10" s="15">
        <v>25</v>
      </c>
      <c r="H10" s="15">
        <v>25</v>
      </c>
      <c r="I10" s="15">
        <v>0</v>
      </c>
      <c r="J10" s="15">
        <v>37</v>
      </c>
      <c r="K10" s="15">
        <v>2</v>
      </c>
      <c r="L10" s="16">
        <f t="shared" si="1"/>
        <v>0</v>
      </c>
      <c r="M10" s="16">
        <f t="shared" si="2"/>
        <v>7.407407407407407E-2</v>
      </c>
      <c r="N10" s="16">
        <f t="shared" si="3"/>
        <v>1</v>
      </c>
      <c r="O10" s="16">
        <f t="shared" si="4"/>
        <v>0.92592592592592593</v>
      </c>
      <c r="P10" s="17">
        <v>42</v>
      </c>
      <c r="Q10" s="15">
        <v>42</v>
      </c>
      <c r="R10" s="15">
        <v>0</v>
      </c>
      <c r="S10" s="15">
        <v>111</v>
      </c>
      <c r="T10" s="15">
        <v>13</v>
      </c>
      <c r="U10" s="16">
        <f t="shared" si="5"/>
        <v>0</v>
      </c>
      <c r="V10" s="18">
        <f t="shared" si="0"/>
        <v>0.23636363636363636</v>
      </c>
      <c r="W10" s="16">
        <f t="shared" si="6"/>
        <v>1</v>
      </c>
      <c r="X10" s="19">
        <f t="shared" si="7"/>
        <v>0.76363636363636367</v>
      </c>
    </row>
    <row r="11" spans="3:24" x14ac:dyDescent="0.3">
      <c r="E11" s="8">
        <v>0.8</v>
      </c>
      <c r="F11" s="9" t="s">
        <v>13</v>
      </c>
      <c r="G11" s="9">
        <v>23</v>
      </c>
      <c r="H11" s="9">
        <v>23</v>
      </c>
      <c r="I11" s="9">
        <v>0</v>
      </c>
      <c r="J11" s="9">
        <v>218</v>
      </c>
      <c r="K11" s="9">
        <v>8</v>
      </c>
      <c r="L11" s="10">
        <f t="shared" si="1"/>
        <v>0</v>
      </c>
      <c r="M11" s="10">
        <f t="shared" si="2"/>
        <v>0.25806451612903225</v>
      </c>
      <c r="N11" s="10">
        <f t="shared" si="3"/>
        <v>1</v>
      </c>
      <c r="O11" s="10">
        <f t="shared" si="4"/>
        <v>0.74193548387096775</v>
      </c>
      <c r="P11" s="21">
        <v>39</v>
      </c>
      <c r="Q11" s="9">
        <v>35</v>
      </c>
      <c r="R11" s="9">
        <v>4</v>
      </c>
      <c r="S11" s="9">
        <v>933</v>
      </c>
      <c r="T11" s="9">
        <v>24</v>
      </c>
      <c r="U11" s="10">
        <f t="shared" si="5"/>
        <v>4.2689434364994666E-3</v>
      </c>
      <c r="V11" s="22">
        <f t="shared" si="0"/>
        <v>0.40677966101694918</v>
      </c>
      <c r="W11" s="10">
        <f t="shared" si="6"/>
        <v>0.89743589743589747</v>
      </c>
      <c r="X11" s="23">
        <f t="shared" si="7"/>
        <v>0.59322033898305082</v>
      </c>
    </row>
    <row r="12" spans="3:24" x14ac:dyDescent="0.3">
      <c r="E12" s="14">
        <v>0.8</v>
      </c>
      <c r="F12" s="15" t="s">
        <v>14</v>
      </c>
      <c r="G12" s="15">
        <v>21</v>
      </c>
      <c r="H12" s="15">
        <v>21</v>
      </c>
      <c r="I12" s="15">
        <v>0</v>
      </c>
      <c r="J12" s="15">
        <v>37</v>
      </c>
      <c r="K12" s="15">
        <v>6</v>
      </c>
      <c r="L12" s="16">
        <f t="shared" si="1"/>
        <v>0</v>
      </c>
      <c r="M12" s="16">
        <f t="shared" si="2"/>
        <v>0.22222222222222221</v>
      </c>
      <c r="N12" s="16">
        <f t="shared" si="3"/>
        <v>1</v>
      </c>
      <c r="O12" s="16">
        <f t="shared" si="4"/>
        <v>0.77777777777777779</v>
      </c>
      <c r="P12" s="17">
        <v>33</v>
      </c>
      <c r="Q12" s="15">
        <v>33</v>
      </c>
      <c r="R12" s="15">
        <v>0</v>
      </c>
      <c r="S12" s="15">
        <v>111</v>
      </c>
      <c r="T12" s="15">
        <v>22</v>
      </c>
      <c r="U12" s="16">
        <f t="shared" si="5"/>
        <v>0</v>
      </c>
      <c r="V12" s="18">
        <f t="shared" si="0"/>
        <v>0.4</v>
      </c>
      <c r="W12" s="16">
        <f t="shared" si="6"/>
        <v>1</v>
      </c>
      <c r="X12" s="19">
        <f t="shared" si="7"/>
        <v>0.6</v>
      </c>
    </row>
    <row r="13" spans="3:24" x14ac:dyDescent="0.3">
      <c r="E13" s="8">
        <v>0.9</v>
      </c>
      <c r="F13" s="9" t="s">
        <v>13</v>
      </c>
      <c r="G13" s="9">
        <v>10</v>
      </c>
      <c r="H13" s="9">
        <v>10</v>
      </c>
      <c r="I13" s="9">
        <v>0</v>
      </c>
      <c r="J13" s="9">
        <v>218</v>
      </c>
      <c r="K13" s="9">
        <v>21</v>
      </c>
      <c r="L13" s="10">
        <f t="shared" si="1"/>
        <v>0</v>
      </c>
      <c r="M13" s="10">
        <f t="shared" si="2"/>
        <v>0.67741935483870963</v>
      </c>
      <c r="N13" s="10">
        <f t="shared" si="3"/>
        <v>1</v>
      </c>
      <c r="O13" s="10">
        <f t="shared" si="4"/>
        <v>0.32258064516129031</v>
      </c>
      <c r="P13" s="21">
        <v>12</v>
      </c>
      <c r="Q13" s="9">
        <v>12</v>
      </c>
      <c r="R13" s="9">
        <v>0</v>
      </c>
      <c r="S13" s="9">
        <v>933</v>
      </c>
      <c r="T13" s="9">
        <v>47</v>
      </c>
      <c r="U13" s="10">
        <f t="shared" si="5"/>
        <v>0</v>
      </c>
      <c r="V13" s="22">
        <f t="shared" si="0"/>
        <v>0.79661016949152541</v>
      </c>
      <c r="W13" s="10">
        <f t="shared" si="6"/>
        <v>1</v>
      </c>
      <c r="X13" s="23">
        <f>Q13/(Q13+T13)</f>
        <v>0.20338983050847459</v>
      </c>
    </row>
    <row r="14" spans="3:24" x14ac:dyDescent="0.3">
      <c r="E14" s="24">
        <v>0.9</v>
      </c>
      <c r="F14" s="25" t="s">
        <v>14</v>
      </c>
      <c r="G14" s="25">
        <v>9</v>
      </c>
      <c r="H14" s="25">
        <v>9</v>
      </c>
      <c r="I14" s="25">
        <v>0</v>
      </c>
      <c r="J14" s="25">
        <v>37</v>
      </c>
      <c r="K14" s="25">
        <v>18</v>
      </c>
      <c r="L14" s="26">
        <f t="shared" si="1"/>
        <v>0</v>
      </c>
      <c r="M14" s="26">
        <f t="shared" si="2"/>
        <v>0.66666666666666663</v>
      </c>
      <c r="N14" s="26">
        <f t="shared" si="3"/>
        <v>1</v>
      </c>
      <c r="O14" s="26">
        <f t="shared" si="4"/>
        <v>0.33333333333333331</v>
      </c>
      <c r="P14" s="27">
        <v>11</v>
      </c>
      <c r="Q14" s="25">
        <v>11</v>
      </c>
      <c r="R14" s="25">
        <v>0</v>
      </c>
      <c r="S14" s="25">
        <v>111</v>
      </c>
      <c r="T14" s="25">
        <v>44</v>
      </c>
      <c r="U14" s="26">
        <f t="shared" si="5"/>
        <v>0</v>
      </c>
      <c r="V14" s="26">
        <f t="shared" si="0"/>
        <v>0.8</v>
      </c>
      <c r="W14" s="26">
        <f t="shared" si="6"/>
        <v>1</v>
      </c>
      <c r="X14" s="28">
        <f>Q14/(Q14+T14)</f>
        <v>0.2</v>
      </c>
    </row>
    <row r="15" spans="3:24" x14ac:dyDescent="0.3">
      <c r="E15" s="2"/>
      <c r="F15" s="29"/>
      <c r="G15" s="18"/>
      <c r="H15" s="18"/>
      <c r="I15" s="18"/>
      <c r="J15" s="18"/>
      <c r="K15" s="18"/>
      <c r="L15" s="18"/>
      <c r="M15" s="18"/>
      <c r="N15" s="18"/>
      <c r="O15" s="2"/>
    </row>
    <row r="16" spans="3:24" x14ac:dyDescent="0.3">
      <c r="E16" s="2"/>
      <c r="F16" s="29"/>
      <c r="G16" s="2"/>
      <c r="H16" s="2"/>
      <c r="I16" s="18"/>
      <c r="J16" s="18"/>
      <c r="K16" s="18"/>
      <c r="L16" s="18"/>
      <c r="M16" s="18"/>
      <c r="N16" s="18"/>
      <c r="O16" s="2"/>
    </row>
    <row r="17" spans="3:25" x14ac:dyDescent="0.3">
      <c r="E17" s="2"/>
      <c r="F17" s="29"/>
      <c r="G17" s="2"/>
      <c r="H17" t="s">
        <v>15</v>
      </c>
      <c r="I17" s="18"/>
      <c r="J17" s="18"/>
      <c r="K17" s="18"/>
      <c r="L17" s="18"/>
      <c r="M17" s="18"/>
      <c r="N17" s="18"/>
      <c r="O17" s="2"/>
      <c r="R17" t="s">
        <v>16</v>
      </c>
    </row>
    <row r="18" spans="3:25" x14ac:dyDescent="0.3">
      <c r="H18">
        <f>SUM(G22:K22)</f>
        <v>297</v>
      </c>
      <c r="R18">
        <f>SUM(Q22:T22)</f>
        <v>1067</v>
      </c>
    </row>
    <row r="20" spans="3:25" ht="25.8" x14ac:dyDescent="0.5">
      <c r="E20" s="90" t="s">
        <v>0</v>
      </c>
      <c r="F20" s="92" t="s">
        <v>1</v>
      </c>
      <c r="G20" s="93"/>
      <c r="H20" s="93"/>
      <c r="I20" s="93"/>
      <c r="J20" s="93"/>
      <c r="K20" s="93"/>
      <c r="L20" s="93"/>
      <c r="M20" s="93"/>
      <c r="N20" s="93"/>
      <c r="O20" s="94"/>
      <c r="P20" s="95" t="s">
        <v>2</v>
      </c>
      <c r="Q20" s="96"/>
      <c r="R20" s="96"/>
      <c r="S20" s="96"/>
      <c r="T20" s="96"/>
      <c r="U20" s="96"/>
      <c r="V20" s="96"/>
      <c r="W20" s="96"/>
      <c r="X20" s="97"/>
    </row>
    <row r="21" spans="3:25" ht="31.2" x14ac:dyDescent="0.3">
      <c r="C21" t="s">
        <v>17</v>
      </c>
      <c r="D21" t="s">
        <v>18</v>
      </c>
      <c r="E21" s="91"/>
      <c r="F21" s="4" t="s">
        <v>3</v>
      </c>
      <c r="G21" s="4" t="s">
        <v>19</v>
      </c>
      <c r="H21" s="4" t="s">
        <v>5</v>
      </c>
      <c r="I21" s="4" t="s">
        <v>6</v>
      </c>
      <c r="J21" s="4" t="s">
        <v>7</v>
      </c>
      <c r="K21" s="4" t="s">
        <v>8</v>
      </c>
      <c r="L21" s="5" t="s">
        <v>9</v>
      </c>
      <c r="M21" s="5" t="s">
        <v>10</v>
      </c>
      <c r="N21" s="6" t="s">
        <v>11</v>
      </c>
      <c r="O21" s="7" t="s">
        <v>12</v>
      </c>
      <c r="P21" s="4" t="s">
        <v>19</v>
      </c>
      <c r="Q21" s="4" t="s">
        <v>5</v>
      </c>
      <c r="R21" s="4" t="s">
        <v>6</v>
      </c>
      <c r="S21" s="4" t="s">
        <v>7</v>
      </c>
      <c r="T21" s="4" t="s">
        <v>8</v>
      </c>
      <c r="U21" s="5" t="s">
        <v>9</v>
      </c>
      <c r="V21" s="5" t="s">
        <v>10</v>
      </c>
      <c r="W21" s="5" t="s">
        <v>11</v>
      </c>
      <c r="X21" s="7" t="s">
        <v>12</v>
      </c>
    </row>
    <row r="22" spans="3:25" x14ac:dyDescent="0.3">
      <c r="C22">
        <f>H22+I22</f>
        <v>39</v>
      </c>
      <c r="D22">
        <f>Q22+R22</f>
        <v>133</v>
      </c>
      <c r="E22" s="8">
        <v>0.5</v>
      </c>
      <c r="F22" s="9" t="s">
        <v>13</v>
      </c>
      <c r="G22" s="9">
        <v>39</v>
      </c>
      <c r="H22" s="9">
        <v>30</v>
      </c>
      <c r="I22" s="9">
        <v>9</v>
      </c>
      <c r="J22" s="9">
        <v>218</v>
      </c>
      <c r="K22" s="9">
        <v>1</v>
      </c>
      <c r="L22" s="10">
        <f>I22/(I22+J22)</f>
        <v>3.9647577092511016E-2</v>
      </c>
      <c r="M22" s="10">
        <f>K22/(K22+H22)</f>
        <v>3.2258064516129031E-2</v>
      </c>
      <c r="N22" s="10">
        <f>H22/(H22+I22)</f>
        <v>0.76923076923076927</v>
      </c>
      <c r="O22" s="10">
        <f>H22/(H22+K22)</f>
        <v>0.967741935483871</v>
      </c>
      <c r="P22" s="11">
        <v>133</v>
      </c>
      <c r="Q22" s="9">
        <v>58</v>
      </c>
      <c r="R22" s="9">
        <v>75</v>
      </c>
      <c r="S22" s="9">
        <v>933</v>
      </c>
      <c r="T22" s="9">
        <v>1</v>
      </c>
      <c r="U22" s="10">
        <f>R22/(R22+S22)</f>
        <v>7.4404761904761904E-2</v>
      </c>
      <c r="V22" s="12">
        <f>T22/(T22+Q22)</f>
        <v>1.6949152542372881E-2</v>
      </c>
      <c r="W22" s="10">
        <f>Q22/(Q22+R22)</f>
        <v>0.43609022556390975</v>
      </c>
      <c r="X22" s="13">
        <f>Q22/(Q22+T22)</f>
        <v>0.98305084745762716</v>
      </c>
      <c r="Y22">
        <f>SUM(Q22:T22)</f>
        <v>1067</v>
      </c>
    </row>
    <row r="23" spans="3:25" x14ac:dyDescent="0.3">
      <c r="C23">
        <f t="shared" ref="C23:C31" si="8">H23+I23</f>
        <v>33</v>
      </c>
      <c r="D23">
        <f t="shared" ref="D23:D31" si="9">Q23+R23</f>
        <v>95</v>
      </c>
      <c r="E23" s="8">
        <v>0.6</v>
      </c>
      <c r="F23" s="9" t="s">
        <v>13</v>
      </c>
      <c r="G23" s="9">
        <v>32</v>
      </c>
      <c r="H23" s="9">
        <v>30</v>
      </c>
      <c r="I23" s="9">
        <v>3</v>
      </c>
      <c r="J23" s="9">
        <v>218</v>
      </c>
      <c r="K23" s="9">
        <v>1</v>
      </c>
      <c r="L23" s="20">
        <f t="shared" ref="L23:L31" si="10">I23/(I23+J23)</f>
        <v>1.3574660633484163E-2</v>
      </c>
      <c r="M23" s="10">
        <f t="shared" ref="M23:M31" si="11">K23/(K23+H23)</f>
        <v>3.2258064516129031E-2</v>
      </c>
      <c r="N23" s="10">
        <f t="shared" ref="N23:N31" si="12">H23/(H23+I23)</f>
        <v>0.90909090909090906</v>
      </c>
      <c r="O23" s="10">
        <f t="shared" ref="O23:O31" si="13">H23/(H23+K23)</f>
        <v>0.967741935483871</v>
      </c>
      <c r="P23" s="21">
        <v>95</v>
      </c>
      <c r="Q23" s="9">
        <v>53</v>
      </c>
      <c r="R23" s="9">
        <v>42</v>
      </c>
      <c r="S23" s="9">
        <v>933</v>
      </c>
      <c r="T23" s="9">
        <v>6</v>
      </c>
      <c r="U23" s="10">
        <f t="shared" ref="U23:U31" si="14">R23/(R23+S23)</f>
        <v>4.3076923076923075E-2</v>
      </c>
      <c r="V23" s="22">
        <f>T23/(T23+Q23)</f>
        <v>0.10169491525423729</v>
      </c>
      <c r="W23" s="10">
        <f t="shared" ref="W23:W31" si="15">Q23/(Q23+R23)</f>
        <v>0.55789473684210522</v>
      </c>
      <c r="X23" s="23">
        <f t="shared" ref="X23:X31" si="16">Q23/(Q23+T23)</f>
        <v>0.89830508474576276</v>
      </c>
      <c r="Y23">
        <f>SUM(Q23:T23)</f>
        <v>1034</v>
      </c>
    </row>
    <row r="24" spans="3:25" x14ac:dyDescent="0.3">
      <c r="C24">
        <f t="shared" si="8"/>
        <v>30</v>
      </c>
      <c r="D24">
        <f t="shared" si="9"/>
        <v>69</v>
      </c>
      <c r="E24" s="8">
        <v>0.7</v>
      </c>
      <c r="F24" s="9" t="s">
        <v>13</v>
      </c>
      <c r="G24" s="9">
        <v>31</v>
      </c>
      <c r="H24" s="9">
        <v>29</v>
      </c>
      <c r="I24" s="9">
        <v>1</v>
      </c>
      <c r="J24" s="9">
        <v>218</v>
      </c>
      <c r="K24" s="9">
        <v>2</v>
      </c>
      <c r="L24" s="20">
        <f t="shared" si="10"/>
        <v>4.5662100456621002E-3</v>
      </c>
      <c r="M24" s="10">
        <f t="shared" si="11"/>
        <v>6.4516129032258063E-2</v>
      </c>
      <c r="N24" s="10">
        <f t="shared" si="12"/>
        <v>0.96666666666666667</v>
      </c>
      <c r="O24" s="10">
        <f t="shared" si="13"/>
        <v>0.93548387096774188</v>
      </c>
      <c r="P24" s="21">
        <v>69</v>
      </c>
      <c r="Q24" s="9">
        <v>46</v>
      </c>
      <c r="R24" s="9">
        <v>23</v>
      </c>
      <c r="S24" s="9">
        <v>933</v>
      </c>
      <c r="T24" s="9">
        <v>13</v>
      </c>
      <c r="U24" s="10">
        <f t="shared" si="14"/>
        <v>2.4058577405857741E-2</v>
      </c>
      <c r="V24" s="22">
        <f t="shared" ref="V24:V31" si="17">T24/(T24+Q24)</f>
        <v>0.22033898305084745</v>
      </c>
      <c r="W24" s="10">
        <f t="shared" si="15"/>
        <v>0.66666666666666663</v>
      </c>
      <c r="X24" s="23">
        <f t="shared" si="16"/>
        <v>0.77966101694915257</v>
      </c>
    </row>
    <row r="25" spans="3:25" x14ac:dyDescent="0.3">
      <c r="C25">
        <f t="shared" si="8"/>
        <v>23</v>
      </c>
      <c r="D25">
        <f t="shared" si="9"/>
        <v>39</v>
      </c>
      <c r="E25" s="8">
        <v>0.8</v>
      </c>
      <c r="F25" s="9" t="s">
        <v>13</v>
      </c>
      <c r="G25" s="9">
        <v>23</v>
      </c>
      <c r="H25" s="9">
        <v>23</v>
      </c>
      <c r="I25" s="9">
        <v>0</v>
      </c>
      <c r="J25" s="9">
        <v>218</v>
      </c>
      <c r="K25" s="9">
        <v>8</v>
      </c>
      <c r="L25" s="10">
        <f t="shared" si="10"/>
        <v>0</v>
      </c>
      <c r="M25" s="10">
        <f t="shared" si="11"/>
        <v>0.25806451612903225</v>
      </c>
      <c r="N25" s="10">
        <f t="shared" si="12"/>
        <v>1</v>
      </c>
      <c r="O25" s="10">
        <f t="shared" si="13"/>
        <v>0.74193548387096775</v>
      </c>
      <c r="P25" s="21">
        <v>39</v>
      </c>
      <c r="Q25" s="9">
        <v>35</v>
      </c>
      <c r="R25" s="9">
        <v>4</v>
      </c>
      <c r="S25" s="9">
        <v>933</v>
      </c>
      <c r="T25" s="9">
        <v>24</v>
      </c>
      <c r="U25" s="10">
        <f t="shared" si="14"/>
        <v>4.2689434364994666E-3</v>
      </c>
      <c r="V25" s="22">
        <f t="shared" si="17"/>
        <v>0.40677966101694918</v>
      </c>
      <c r="W25" s="10">
        <f t="shared" si="15"/>
        <v>0.89743589743589747</v>
      </c>
      <c r="X25" s="23">
        <f t="shared" si="16"/>
        <v>0.59322033898305082</v>
      </c>
    </row>
    <row r="26" spans="3:25" x14ac:dyDescent="0.3">
      <c r="C26">
        <f t="shared" si="8"/>
        <v>10</v>
      </c>
      <c r="D26">
        <f t="shared" si="9"/>
        <v>12</v>
      </c>
      <c r="E26" s="8">
        <v>0.9</v>
      </c>
      <c r="F26" s="9" t="s">
        <v>13</v>
      </c>
      <c r="G26" s="9">
        <v>10</v>
      </c>
      <c r="H26" s="9">
        <v>10</v>
      </c>
      <c r="I26" s="9">
        <v>0</v>
      </c>
      <c r="J26" s="9">
        <v>218</v>
      </c>
      <c r="K26" s="9">
        <v>21</v>
      </c>
      <c r="L26" s="10">
        <f t="shared" si="10"/>
        <v>0</v>
      </c>
      <c r="M26" s="10">
        <f t="shared" si="11"/>
        <v>0.67741935483870963</v>
      </c>
      <c r="N26" s="10">
        <f t="shared" si="12"/>
        <v>1</v>
      </c>
      <c r="O26" s="10">
        <f t="shared" si="13"/>
        <v>0.32258064516129031</v>
      </c>
      <c r="P26" s="21">
        <v>12</v>
      </c>
      <c r="Q26" s="9">
        <v>12</v>
      </c>
      <c r="R26" s="9">
        <v>0</v>
      </c>
      <c r="S26" s="9">
        <v>933</v>
      </c>
      <c r="T26" s="9">
        <v>47</v>
      </c>
      <c r="U26" s="10">
        <f t="shared" si="14"/>
        <v>0</v>
      </c>
      <c r="V26" s="22">
        <f t="shared" si="17"/>
        <v>0.79661016949152541</v>
      </c>
      <c r="W26" s="10">
        <f t="shared" si="15"/>
        <v>1</v>
      </c>
      <c r="X26" s="23">
        <f>Q26/(Q26+T26)</f>
        <v>0.20338983050847459</v>
      </c>
    </row>
    <row r="27" spans="3:25" x14ac:dyDescent="0.3">
      <c r="C27">
        <f t="shared" si="8"/>
        <v>26</v>
      </c>
      <c r="D27">
        <f t="shared" si="9"/>
        <v>54</v>
      </c>
      <c r="E27" s="14">
        <v>0.5</v>
      </c>
      <c r="F27" s="15" t="s">
        <v>14</v>
      </c>
      <c r="G27" s="15">
        <v>26</v>
      </c>
      <c r="H27" s="15">
        <v>26</v>
      </c>
      <c r="I27" s="15">
        <v>0</v>
      </c>
      <c r="J27" s="15">
        <v>37</v>
      </c>
      <c r="K27" s="15">
        <v>1</v>
      </c>
      <c r="L27" s="16">
        <f t="shared" si="10"/>
        <v>0</v>
      </c>
      <c r="M27" s="16">
        <f>K27/(K27+H27)</f>
        <v>3.7037037037037035E-2</v>
      </c>
      <c r="N27" s="16">
        <f t="shared" si="12"/>
        <v>1</v>
      </c>
      <c r="O27" s="16">
        <f t="shared" si="13"/>
        <v>0.96296296296296291</v>
      </c>
      <c r="P27" s="17">
        <v>54</v>
      </c>
      <c r="Q27" s="15">
        <v>54</v>
      </c>
      <c r="R27" s="15">
        <v>0</v>
      </c>
      <c r="S27" s="15">
        <v>111</v>
      </c>
      <c r="T27" s="15">
        <v>1</v>
      </c>
      <c r="U27" s="16">
        <f t="shared" si="14"/>
        <v>0</v>
      </c>
      <c r="V27" s="18">
        <f t="shared" si="17"/>
        <v>1.8181818181818181E-2</v>
      </c>
      <c r="W27" s="16">
        <f t="shared" si="15"/>
        <v>1</v>
      </c>
      <c r="X27" s="19">
        <f t="shared" si="16"/>
        <v>0.98181818181818181</v>
      </c>
    </row>
    <row r="28" spans="3:25" x14ac:dyDescent="0.3">
      <c r="C28">
        <f t="shared" si="8"/>
        <v>26</v>
      </c>
      <c r="D28">
        <f t="shared" si="9"/>
        <v>49</v>
      </c>
      <c r="E28" s="14">
        <v>0.6</v>
      </c>
      <c r="F28" s="15" t="s">
        <v>14</v>
      </c>
      <c r="G28" s="15">
        <v>26</v>
      </c>
      <c r="H28" s="15">
        <v>26</v>
      </c>
      <c r="I28" s="15">
        <v>0</v>
      </c>
      <c r="J28" s="15">
        <v>37</v>
      </c>
      <c r="K28" s="15">
        <v>1</v>
      </c>
      <c r="L28" s="16">
        <f t="shared" si="10"/>
        <v>0</v>
      </c>
      <c r="M28" s="16">
        <f t="shared" si="11"/>
        <v>3.7037037037037035E-2</v>
      </c>
      <c r="N28" s="16">
        <f t="shared" si="12"/>
        <v>1</v>
      </c>
      <c r="O28" s="16">
        <f t="shared" si="13"/>
        <v>0.96296296296296291</v>
      </c>
      <c r="P28" s="17">
        <v>49</v>
      </c>
      <c r="Q28" s="15">
        <v>49</v>
      </c>
      <c r="R28" s="15">
        <v>0</v>
      </c>
      <c r="S28" s="15">
        <v>111</v>
      </c>
      <c r="T28" s="15">
        <v>6</v>
      </c>
      <c r="U28" s="16">
        <f t="shared" si="14"/>
        <v>0</v>
      </c>
      <c r="V28" s="18">
        <f t="shared" si="17"/>
        <v>0.10909090909090909</v>
      </c>
      <c r="W28" s="16">
        <f t="shared" si="15"/>
        <v>1</v>
      </c>
      <c r="X28" s="19">
        <f t="shared" si="16"/>
        <v>0.89090909090909087</v>
      </c>
    </row>
    <row r="29" spans="3:25" x14ac:dyDescent="0.3">
      <c r="C29">
        <f t="shared" si="8"/>
        <v>25</v>
      </c>
      <c r="D29">
        <f t="shared" si="9"/>
        <v>42</v>
      </c>
      <c r="E29" s="14">
        <v>0.7</v>
      </c>
      <c r="F29" s="15" t="s">
        <v>14</v>
      </c>
      <c r="G29" s="15">
        <v>25</v>
      </c>
      <c r="H29" s="15">
        <v>25</v>
      </c>
      <c r="I29" s="15">
        <v>0</v>
      </c>
      <c r="J29" s="15">
        <v>37</v>
      </c>
      <c r="K29" s="15">
        <v>2</v>
      </c>
      <c r="L29" s="16">
        <f t="shared" si="10"/>
        <v>0</v>
      </c>
      <c r="M29" s="16">
        <f t="shared" si="11"/>
        <v>7.407407407407407E-2</v>
      </c>
      <c r="N29" s="16">
        <f t="shared" si="12"/>
        <v>1</v>
      </c>
      <c r="O29" s="16">
        <f t="shared" si="13"/>
        <v>0.92592592592592593</v>
      </c>
      <c r="P29" s="17">
        <v>42</v>
      </c>
      <c r="Q29" s="15">
        <v>42</v>
      </c>
      <c r="R29" s="15">
        <v>0</v>
      </c>
      <c r="S29" s="15">
        <v>111</v>
      </c>
      <c r="T29" s="15">
        <v>13</v>
      </c>
      <c r="U29" s="16">
        <f t="shared" si="14"/>
        <v>0</v>
      </c>
      <c r="V29" s="18">
        <f t="shared" si="17"/>
        <v>0.23636363636363636</v>
      </c>
      <c r="W29" s="16">
        <f t="shared" si="15"/>
        <v>1</v>
      </c>
      <c r="X29" s="19">
        <f t="shared" si="16"/>
        <v>0.76363636363636367</v>
      </c>
    </row>
    <row r="30" spans="3:25" x14ac:dyDescent="0.3">
      <c r="C30">
        <f t="shared" si="8"/>
        <v>21</v>
      </c>
      <c r="D30">
        <f t="shared" si="9"/>
        <v>33</v>
      </c>
      <c r="E30" s="14">
        <v>0.8</v>
      </c>
      <c r="F30" s="15" t="s">
        <v>14</v>
      </c>
      <c r="G30" s="15">
        <v>21</v>
      </c>
      <c r="H30" s="15">
        <v>21</v>
      </c>
      <c r="I30" s="15">
        <v>0</v>
      </c>
      <c r="J30" s="15">
        <v>37</v>
      </c>
      <c r="K30" s="15">
        <v>6</v>
      </c>
      <c r="L30" s="16">
        <f t="shared" si="10"/>
        <v>0</v>
      </c>
      <c r="M30" s="16">
        <f t="shared" si="11"/>
        <v>0.22222222222222221</v>
      </c>
      <c r="N30" s="16">
        <f t="shared" si="12"/>
        <v>1</v>
      </c>
      <c r="O30" s="16">
        <f t="shared" si="13"/>
        <v>0.77777777777777779</v>
      </c>
      <c r="P30" s="17">
        <v>33</v>
      </c>
      <c r="Q30" s="15">
        <v>33</v>
      </c>
      <c r="R30" s="15">
        <v>0</v>
      </c>
      <c r="S30" s="15">
        <v>111</v>
      </c>
      <c r="T30" s="15">
        <v>22</v>
      </c>
      <c r="U30" s="16">
        <f t="shared" si="14"/>
        <v>0</v>
      </c>
      <c r="V30" s="18">
        <f t="shared" si="17"/>
        <v>0.4</v>
      </c>
      <c r="W30" s="16">
        <f t="shared" si="15"/>
        <v>1</v>
      </c>
      <c r="X30" s="19">
        <f t="shared" si="16"/>
        <v>0.6</v>
      </c>
    </row>
    <row r="31" spans="3:25" x14ac:dyDescent="0.3">
      <c r="C31">
        <f t="shared" si="8"/>
        <v>9</v>
      </c>
      <c r="D31">
        <f t="shared" si="9"/>
        <v>11</v>
      </c>
      <c r="E31" s="24">
        <v>0.9</v>
      </c>
      <c r="F31" s="25" t="s">
        <v>14</v>
      </c>
      <c r="G31" s="25">
        <v>9</v>
      </c>
      <c r="H31" s="25">
        <v>9</v>
      </c>
      <c r="I31" s="25">
        <v>0</v>
      </c>
      <c r="J31" s="25">
        <v>37</v>
      </c>
      <c r="K31" s="25">
        <v>18</v>
      </c>
      <c r="L31" s="26">
        <f t="shared" si="10"/>
        <v>0</v>
      </c>
      <c r="M31" s="26">
        <f t="shared" si="11"/>
        <v>0.66666666666666663</v>
      </c>
      <c r="N31" s="26">
        <f t="shared" si="12"/>
        <v>1</v>
      </c>
      <c r="O31" s="26">
        <f t="shared" si="13"/>
        <v>0.33333333333333331</v>
      </c>
      <c r="P31" s="27">
        <v>11</v>
      </c>
      <c r="Q31" s="25">
        <v>11</v>
      </c>
      <c r="R31" s="25">
        <v>0</v>
      </c>
      <c r="S31" s="25">
        <v>111</v>
      </c>
      <c r="T31" s="25">
        <v>44</v>
      </c>
      <c r="U31" s="26">
        <f t="shared" si="14"/>
        <v>0</v>
      </c>
      <c r="V31" s="26">
        <f t="shared" si="17"/>
        <v>0.8</v>
      </c>
      <c r="W31" s="26">
        <f t="shared" si="15"/>
        <v>1</v>
      </c>
      <c r="X31" s="28">
        <f t="shared" si="16"/>
        <v>0.2</v>
      </c>
    </row>
  </sheetData>
  <mergeCells count="10">
    <mergeCell ref="C4:C8"/>
    <mergeCell ref="D5:D9"/>
    <mergeCell ref="E20:E21"/>
    <mergeCell ref="F20:O20"/>
    <mergeCell ref="P20:X20"/>
    <mergeCell ref="F2:I2"/>
    <mergeCell ref="J2:M2"/>
    <mergeCell ref="E3:E4"/>
    <mergeCell ref="F3:O3"/>
    <mergeCell ref="P3:X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Table1-blues</vt:lpstr>
      <vt:lpstr>Table-Separate filter</vt:lpstr>
      <vt:lpstr>Table1-blues-OLD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Barkley</dc:creator>
  <cp:lastModifiedBy>Yvonne Barkley</cp:lastModifiedBy>
  <dcterms:created xsi:type="dcterms:W3CDTF">2026-01-27T17:50:46Z</dcterms:created>
  <dcterms:modified xsi:type="dcterms:W3CDTF">2026-05-08T06:45:05Z</dcterms:modified>
</cp:coreProperties>
</file>